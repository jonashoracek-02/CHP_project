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ac/Downloads/Tesi_ABOCA/Materiale/"/>
    </mc:Choice>
  </mc:AlternateContent>
  <xr:revisionPtr revIDLastSave="0" documentId="13_ncr:1_{43BC0F44-F881-554E-BE1F-0B1A804E8296}" xr6:coauthVersionLast="47" xr6:coauthVersionMax="47" xr10:uidLastSave="{00000000-0000-0000-0000-000000000000}"/>
  <bookViews>
    <workbookView xWindow="0" yWindow="700" windowWidth="34200" windowHeight="21440" tabRatio="879" activeTab="6" xr2:uid="{00000000-000D-0000-FFFF-FFFF00000000}"/>
  </bookViews>
  <sheets>
    <sheet name="Samples list" sheetId="15" r:id="rId1"/>
    <sheet name="Moisture" sheetId="3" r:id="rId2"/>
    <sheet name="Ash" sheetId="5" r:id="rId3"/>
    <sheet name="CHNS" sheetId="7" r:id="rId4"/>
    <sheet name="Heating Value" sheetId="14" r:id="rId5"/>
    <sheet name="Ultimate analysis" sheetId="8" r:id="rId6"/>
    <sheet name="pivot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5" i="5" l="1"/>
  <c r="I47" i="5"/>
  <c r="K47" i="5" s="1"/>
  <c r="I46" i="5"/>
  <c r="K46" i="5" s="1"/>
  <c r="I45" i="5"/>
  <c r="I39" i="5"/>
  <c r="K39" i="5" s="1"/>
  <c r="I38" i="5"/>
  <c r="K38" i="5" s="1"/>
  <c r="I37" i="5"/>
  <c r="K37" i="5" s="1"/>
  <c r="H29" i="5"/>
  <c r="I23" i="5"/>
  <c r="K23" i="5" s="1"/>
  <c r="I22" i="5"/>
  <c r="K22" i="5" s="1"/>
  <c r="I21" i="5"/>
  <c r="K21" i="5" s="1"/>
  <c r="J13" i="5"/>
  <c r="J14" i="5"/>
  <c r="J15" i="5"/>
  <c r="H14" i="5"/>
  <c r="H15" i="5"/>
  <c r="H13" i="5"/>
  <c r="C15" i="5"/>
  <c r="E15" i="5" s="1"/>
  <c r="J5" i="5"/>
  <c r="J6" i="5"/>
  <c r="J7" i="5"/>
  <c r="H6" i="5"/>
  <c r="H7" i="5"/>
  <c r="H5" i="5"/>
  <c r="J29" i="5"/>
  <c r="J30" i="5"/>
  <c r="J31" i="5"/>
  <c r="H30" i="5"/>
  <c r="H31" i="5"/>
  <c r="H47" i="3"/>
  <c r="J47" i="3" s="1"/>
  <c r="H46" i="3"/>
  <c r="J46" i="3" s="1"/>
  <c r="H45" i="3"/>
  <c r="J45" i="3" s="1"/>
  <c r="H39" i="3"/>
  <c r="J39" i="3" s="1"/>
  <c r="H38" i="3"/>
  <c r="J38" i="3" s="1"/>
  <c r="H37" i="3"/>
  <c r="J37" i="3" s="1"/>
  <c r="H31" i="3"/>
  <c r="J31" i="3" s="1"/>
  <c r="H30" i="3"/>
  <c r="J30" i="3" s="1"/>
  <c r="H29" i="3"/>
  <c r="J29" i="3" s="1"/>
  <c r="H23" i="3"/>
  <c r="J23" i="3" s="1"/>
  <c r="H21" i="3"/>
  <c r="J21" i="3" s="1"/>
  <c r="H15" i="3"/>
  <c r="J15" i="3" s="1"/>
  <c r="H14" i="3"/>
  <c r="J14" i="3" s="1"/>
  <c r="H13" i="3"/>
  <c r="J13" i="3" s="1"/>
  <c r="H22" i="3"/>
  <c r="J22" i="3" s="1"/>
  <c r="H7" i="3"/>
  <c r="J7" i="3" s="1"/>
  <c r="H6" i="3"/>
  <c r="J6" i="3" s="1"/>
  <c r="H5" i="3"/>
  <c r="J5" i="3" s="1"/>
  <c r="C31" i="5"/>
  <c r="E31" i="5" s="1"/>
  <c r="C30" i="5"/>
  <c r="C29" i="5"/>
  <c r="E29" i="5" s="1"/>
  <c r="C22" i="5"/>
  <c r="E22" i="5" s="1"/>
  <c r="C21" i="5"/>
  <c r="E21" i="5" s="1"/>
  <c r="C14" i="5"/>
  <c r="C13" i="5"/>
  <c r="E13" i="5" s="1"/>
  <c r="C7" i="5"/>
  <c r="E7" i="5" s="1"/>
  <c r="C6" i="5"/>
  <c r="E6" i="5" s="1"/>
  <c r="C5" i="5"/>
  <c r="E5" i="5" s="1"/>
  <c r="B43" i="3"/>
  <c r="G43" i="3" s="1"/>
  <c r="B35" i="3"/>
  <c r="H35" i="5" s="1"/>
  <c r="B27" i="3"/>
  <c r="G27" i="3" s="1"/>
  <c r="B19" i="3"/>
  <c r="P3" i="8" s="1"/>
  <c r="B11" i="3"/>
  <c r="H11" i="5" s="1"/>
  <c r="B3" i="3"/>
  <c r="G3" i="3" s="1"/>
  <c r="B49" i="14"/>
  <c r="B41" i="14"/>
  <c r="B33" i="14"/>
  <c r="B25" i="14"/>
  <c r="B17" i="14"/>
  <c r="B9" i="14"/>
  <c r="E49" i="7"/>
  <c r="M7" i="16" s="1"/>
  <c r="D49" i="7"/>
  <c r="K7" i="16" s="1"/>
  <c r="C49" i="7"/>
  <c r="I7" i="16" s="1"/>
  <c r="B49" i="7"/>
  <c r="G7" i="16" s="1"/>
  <c r="E41" i="7"/>
  <c r="M6" i="16" s="1"/>
  <c r="D41" i="7"/>
  <c r="K6" i="16" s="1"/>
  <c r="C41" i="7"/>
  <c r="I6" i="16" s="1"/>
  <c r="B41" i="7"/>
  <c r="G6" i="16" s="1"/>
  <c r="E33" i="7"/>
  <c r="M5" i="16" s="1"/>
  <c r="D33" i="7"/>
  <c r="K5" i="16" s="1"/>
  <c r="C33" i="7"/>
  <c r="I5" i="16" s="1"/>
  <c r="B33" i="7"/>
  <c r="G5" i="16" s="1"/>
  <c r="E25" i="7"/>
  <c r="M4" i="16" s="1"/>
  <c r="D25" i="7"/>
  <c r="K4" i="16" s="1"/>
  <c r="C25" i="7"/>
  <c r="I4" i="16" s="1"/>
  <c r="B25" i="7"/>
  <c r="G4" i="16" s="1"/>
  <c r="E17" i="7"/>
  <c r="M3" i="16" s="1"/>
  <c r="D17" i="7"/>
  <c r="K3" i="16" s="1"/>
  <c r="C17" i="7"/>
  <c r="I3" i="16" s="1"/>
  <c r="B17" i="7"/>
  <c r="G3" i="16" s="1"/>
  <c r="D9" i="7"/>
  <c r="K2" i="16" s="1"/>
  <c r="E9" i="7"/>
  <c r="M2" i="16" s="1"/>
  <c r="C9" i="7"/>
  <c r="I2" i="16" s="1"/>
  <c r="B9" i="7"/>
  <c r="G2" i="16" s="1"/>
  <c r="B48" i="14"/>
  <c r="B40" i="14"/>
  <c r="B32" i="14"/>
  <c r="B24" i="14"/>
  <c r="B16" i="14"/>
  <c r="B8" i="14"/>
  <c r="E48" i="7"/>
  <c r="T30" i="8" s="1"/>
  <c r="D48" i="7"/>
  <c r="J7" i="16" s="1"/>
  <c r="C48" i="7"/>
  <c r="T27" i="8" s="1"/>
  <c r="B48" i="7"/>
  <c r="F7" i="16" s="1"/>
  <c r="E40" i="7"/>
  <c r="M30" i="8" s="1"/>
  <c r="D40" i="7"/>
  <c r="J6" i="16" s="1"/>
  <c r="C40" i="7"/>
  <c r="M27" i="8" s="1"/>
  <c r="B40" i="7"/>
  <c r="F6" i="16" s="1"/>
  <c r="E32" i="7"/>
  <c r="L5" i="16" s="1"/>
  <c r="D32" i="7"/>
  <c r="J5" i="16" s="1"/>
  <c r="C32" i="7"/>
  <c r="H5" i="16" s="1"/>
  <c r="B32" i="7"/>
  <c r="F26" i="8" s="1"/>
  <c r="E24" i="7"/>
  <c r="L4" i="16" s="1"/>
  <c r="D24" i="7"/>
  <c r="T11" i="8" s="1"/>
  <c r="C24" i="7"/>
  <c r="H4" i="16" s="1"/>
  <c r="B24" i="7"/>
  <c r="T8" i="8" s="1"/>
  <c r="E47" i="3"/>
  <c r="E46" i="3"/>
  <c r="E45" i="3"/>
  <c r="E39" i="3"/>
  <c r="E38" i="3"/>
  <c r="E37" i="3"/>
  <c r="E31" i="3"/>
  <c r="E30" i="3"/>
  <c r="E29" i="3"/>
  <c r="E23" i="3"/>
  <c r="E22" i="3"/>
  <c r="E21" i="3"/>
  <c r="E15" i="3"/>
  <c r="E14" i="3"/>
  <c r="E13" i="3"/>
  <c r="E47" i="5"/>
  <c r="E46" i="5"/>
  <c r="E45" i="5"/>
  <c r="E23" i="5"/>
  <c r="B35" i="5"/>
  <c r="D16" i="7"/>
  <c r="M11" i="8" s="1"/>
  <c r="C16" i="7"/>
  <c r="H3" i="16" s="1"/>
  <c r="B16" i="7"/>
  <c r="M8" i="8" s="1"/>
  <c r="E8" i="7"/>
  <c r="L2" i="16" s="1"/>
  <c r="D8" i="7"/>
  <c r="J2" i="16" s="1"/>
  <c r="C8" i="7"/>
  <c r="H2" i="16" s="1"/>
  <c r="B8" i="7"/>
  <c r="F2" i="16" s="1"/>
  <c r="E16" i="7"/>
  <c r="M12" i="8" s="1"/>
  <c r="E39" i="5"/>
  <c r="E38" i="5"/>
  <c r="E37" i="5"/>
  <c r="E30" i="5"/>
  <c r="E14" i="5"/>
  <c r="E5" i="3"/>
  <c r="E6" i="3"/>
  <c r="E7" i="3"/>
  <c r="B19" i="5" l="1"/>
  <c r="B35" i="7"/>
  <c r="B3" i="7"/>
  <c r="I21" i="8"/>
  <c r="B35" i="14"/>
  <c r="A4" i="16"/>
  <c r="B3" i="5"/>
  <c r="A6" i="16"/>
  <c r="B3" i="8"/>
  <c r="B3" i="14"/>
  <c r="A2" i="16"/>
  <c r="B27" i="5"/>
  <c r="B27" i="7"/>
  <c r="B19" i="7"/>
  <c r="B27" i="14"/>
  <c r="H19" i="5"/>
  <c r="L7" i="16"/>
  <c r="F29" i="8"/>
  <c r="H7" i="16"/>
  <c r="L3" i="16"/>
  <c r="D27" i="14"/>
  <c r="B21" i="8"/>
  <c r="F27" i="8"/>
  <c r="A5" i="16"/>
  <c r="T12" i="8"/>
  <c r="L6" i="16"/>
  <c r="T29" i="8"/>
  <c r="J3" i="16"/>
  <c r="P21" i="8"/>
  <c r="J4" i="16"/>
  <c r="M29" i="8"/>
  <c r="E17" i="3"/>
  <c r="C3" i="16" s="1"/>
  <c r="E48" i="3"/>
  <c r="R23" i="8" s="1"/>
  <c r="J25" i="3"/>
  <c r="J24" i="3"/>
  <c r="K26" i="5" s="1"/>
  <c r="A7" i="16"/>
  <c r="D35" i="14"/>
  <c r="B19" i="14"/>
  <c r="A3" i="16"/>
  <c r="B43" i="7"/>
  <c r="B43" i="5"/>
  <c r="D19" i="14"/>
  <c r="G19" i="3"/>
  <c r="I3" i="8"/>
  <c r="D43" i="14"/>
  <c r="B11" i="7"/>
  <c r="B11" i="5"/>
  <c r="B11" i="14"/>
  <c r="B43" i="14"/>
  <c r="G11" i="3"/>
  <c r="M26" i="8"/>
  <c r="H27" i="5"/>
  <c r="F8" i="8"/>
  <c r="F5" i="16"/>
  <c r="G35" i="3"/>
  <c r="E16" i="3"/>
  <c r="B3" i="16" s="1"/>
  <c r="T26" i="8"/>
  <c r="E24" i="3"/>
  <c r="B4" i="16" s="1"/>
  <c r="D11" i="14"/>
  <c r="F4" i="16"/>
  <c r="K45" i="5"/>
  <c r="J8" i="3"/>
  <c r="I7" i="5" s="1"/>
  <c r="K7" i="5" s="1"/>
  <c r="J9" i="3"/>
  <c r="J17" i="3"/>
  <c r="J16" i="3"/>
  <c r="E18" i="5" s="1"/>
  <c r="E3" i="16" s="1"/>
  <c r="J32" i="3"/>
  <c r="I30" i="5" s="1"/>
  <c r="K30" i="5" s="1"/>
  <c r="J33" i="3"/>
  <c r="J41" i="3"/>
  <c r="J40" i="3"/>
  <c r="E42" i="5" s="1"/>
  <c r="E6" i="16" s="1"/>
  <c r="J49" i="3"/>
  <c r="J48" i="3"/>
  <c r="D3" i="14"/>
  <c r="E16" i="5"/>
  <c r="E40" i="5"/>
  <c r="T9" i="8"/>
  <c r="H6" i="16"/>
  <c r="F9" i="8"/>
  <c r="E48" i="5"/>
  <c r="E25" i="3"/>
  <c r="C4" i="16" s="1"/>
  <c r="E32" i="3"/>
  <c r="E41" i="3"/>
  <c r="C6" i="16" s="1"/>
  <c r="E49" i="3"/>
  <c r="C7" i="16" s="1"/>
  <c r="K40" i="5"/>
  <c r="M9" i="8"/>
  <c r="K48" i="5"/>
  <c r="F12" i="8"/>
  <c r="K24" i="5"/>
  <c r="E24" i="5"/>
  <c r="E9" i="3"/>
  <c r="C2" i="16" s="1"/>
  <c r="E8" i="3"/>
  <c r="E32" i="5"/>
  <c r="E8" i="5"/>
  <c r="F3" i="16"/>
  <c r="F30" i="8"/>
  <c r="E33" i="3"/>
  <c r="C5" i="16" s="1"/>
  <c r="E40" i="3"/>
  <c r="F11" i="8"/>
  <c r="H43" i="5"/>
  <c r="H3" i="5"/>
  <c r="B7" i="16" l="1"/>
  <c r="D2" i="14"/>
  <c r="C7" i="14" s="1"/>
  <c r="D7" i="14" s="1"/>
  <c r="E26" i="5"/>
  <c r="E4" i="16" s="1"/>
  <c r="K5" i="8"/>
  <c r="K11" i="8" s="1"/>
  <c r="K50" i="5"/>
  <c r="I29" i="5"/>
  <c r="K29" i="5" s="1"/>
  <c r="K25" i="5"/>
  <c r="T6" i="8" s="1"/>
  <c r="U11" i="8" s="1"/>
  <c r="E34" i="5"/>
  <c r="E5" i="16" s="1"/>
  <c r="I13" i="5"/>
  <c r="K13" i="5" s="1"/>
  <c r="E17" i="5"/>
  <c r="D3" i="16" s="1"/>
  <c r="E25" i="5"/>
  <c r="D4" i="16" s="1"/>
  <c r="E10" i="5"/>
  <c r="E2" i="16" s="1"/>
  <c r="I5" i="5"/>
  <c r="K5" i="5" s="1"/>
  <c r="K49" i="5"/>
  <c r="T24" i="8" s="1"/>
  <c r="T28" i="8" s="1"/>
  <c r="U28" i="8" s="1"/>
  <c r="S5" i="8"/>
  <c r="S9" i="8" s="1"/>
  <c r="D18" i="14"/>
  <c r="E9" i="5"/>
  <c r="F8" i="7" s="1"/>
  <c r="N2" i="16" s="1"/>
  <c r="W2" i="16" s="1"/>
  <c r="E5" i="8"/>
  <c r="E8" i="8" s="1"/>
  <c r="I14" i="5"/>
  <c r="K14" i="5" s="1"/>
  <c r="I15" i="5"/>
  <c r="K15" i="5" s="1"/>
  <c r="K41" i="5"/>
  <c r="M24" i="8" s="1"/>
  <c r="N26" i="8" s="1"/>
  <c r="R5" i="8"/>
  <c r="R9" i="8" s="1"/>
  <c r="E49" i="5"/>
  <c r="E41" i="5"/>
  <c r="E33" i="5"/>
  <c r="F32" i="7" s="1"/>
  <c r="N5" i="16" s="1"/>
  <c r="W5" i="16" s="1"/>
  <c r="D23" i="8"/>
  <c r="D30" i="8" s="1"/>
  <c r="B5" i="16"/>
  <c r="D42" i="14"/>
  <c r="S23" i="8"/>
  <c r="E50" i="5"/>
  <c r="E7" i="16" s="1"/>
  <c r="I31" i="5"/>
  <c r="K31" i="5" s="1"/>
  <c r="D26" i="14"/>
  <c r="E23" i="8"/>
  <c r="E26" i="8" s="1"/>
  <c r="I6" i="5"/>
  <c r="K6" i="5" s="1"/>
  <c r="K42" i="5"/>
  <c r="D34" i="14"/>
  <c r="L23" i="8"/>
  <c r="L5" i="8"/>
  <c r="D10" i="14"/>
  <c r="K9" i="8"/>
  <c r="B2" i="16"/>
  <c r="D5" i="8"/>
  <c r="D11" i="8" s="1"/>
  <c r="B6" i="16"/>
  <c r="K23" i="8"/>
  <c r="R29" i="8"/>
  <c r="R27" i="8"/>
  <c r="R26" i="8"/>
  <c r="R30" i="8"/>
  <c r="C6" i="14" l="1"/>
  <c r="D6" i="14" s="1"/>
  <c r="D2" i="16"/>
  <c r="K8" i="8"/>
  <c r="F24" i="7"/>
  <c r="N4" i="16" s="1"/>
  <c r="W4" i="16" s="1"/>
  <c r="K12" i="8"/>
  <c r="C5" i="14"/>
  <c r="D5" i="14" s="1"/>
  <c r="E30" i="8"/>
  <c r="U9" i="8"/>
  <c r="E29" i="8"/>
  <c r="U8" i="8"/>
  <c r="T10" i="8"/>
  <c r="S10" i="8" s="1"/>
  <c r="U12" i="8"/>
  <c r="S6" i="8"/>
  <c r="K18" i="5"/>
  <c r="K32" i="5"/>
  <c r="K33" i="5" s="1"/>
  <c r="F24" i="8" s="1"/>
  <c r="E24" i="8" s="1"/>
  <c r="N30" i="8"/>
  <c r="K8" i="5"/>
  <c r="K9" i="5" s="1"/>
  <c r="F6" i="8" s="1"/>
  <c r="F10" i="8" s="1"/>
  <c r="G10" i="8" s="1"/>
  <c r="R6" i="8"/>
  <c r="U30" i="8"/>
  <c r="M28" i="8"/>
  <c r="M35" i="8" s="1"/>
  <c r="K35" i="8" s="1"/>
  <c r="K36" i="8" s="1"/>
  <c r="F16" i="7"/>
  <c r="N3" i="16" s="1"/>
  <c r="W3" i="16" s="1"/>
  <c r="N29" i="8"/>
  <c r="R28" i="8"/>
  <c r="N27" i="8"/>
  <c r="E11" i="8"/>
  <c r="S24" i="8"/>
  <c r="U27" i="8"/>
  <c r="E27" i="8"/>
  <c r="D5" i="16"/>
  <c r="E9" i="8"/>
  <c r="E12" i="8"/>
  <c r="U26" i="8"/>
  <c r="R24" i="8"/>
  <c r="U29" i="8"/>
  <c r="C23" i="14"/>
  <c r="D23" i="14" s="1"/>
  <c r="C22" i="14"/>
  <c r="C21" i="14"/>
  <c r="T35" i="8"/>
  <c r="T36" i="8" s="1"/>
  <c r="U36" i="8" s="1"/>
  <c r="S12" i="8"/>
  <c r="S8" i="8"/>
  <c r="S11" i="8"/>
  <c r="K34" i="5"/>
  <c r="K16" i="5"/>
  <c r="K17" i="5" s="1"/>
  <c r="M6" i="8" s="1"/>
  <c r="L6" i="8" s="1"/>
  <c r="R12" i="8"/>
  <c r="R11" i="8"/>
  <c r="R8" i="8"/>
  <c r="D6" i="16"/>
  <c r="F40" i="7"/>
  <c r="N6" i="16" s="1"/>
  <c r="W6" i="16" s="1"/>
  <c r="D7" i="16"/>
  <c r="F48" i="7"/>
  <c r="N7" i="16" s="1"/>
  <c r="W7" i="16" s="1"/>
  <c r="C15" i="14"/>
  <c r="D15" i="14" s="1"/>
  <c r="C14" i="14"/>
  <c r="D14" i="14" s="1"/>
  <c r="C13" i="14"/>
  <c r="L12" i="8"/>
  <c r="L11" i="8"/>
  <c r="L8" i="8"/>
  <c r="S26" i="8"/>
  <c r="S30" i="8"/>
  <c r="S29" i="8"/>
  <c r="S27" i="8"/>
  <c r="S28" i="8"/>
  <c r="L27" i="8"/>
  <c r="L26" i="8"/>
  <c r="L29" i="8"/>
  <c r="L30" i="8"/>
  <c r="C30" i="14"/>
  <c r="D30" i="14" s="1"/>
  <c r="C31" i="14"/>
  <c r="D31" i="14" s="1"/>
  <c r="C29" i="14"/>
  <c r="C46" i="14"/>
  <c r="D46" i="14" s="1"/>
  <c r="C45" i="14"/>
  <c r="C47" i="14"/>
  <c r="D47" i="14" s="1"/>
  <c r="D29" i="8"/>
  <c r="D27" i="8"/>
  <c r="D26" i="8"/>
  <c r="K10" i="5"/>
  <c r="C38" i="14"/>
  <c r="D38" i="14" s="1"/>
  <c r="C39" i="14"/>
  <c r="D39" i="14" s="1"/>
  <c r="C37" i="14"/>
  <c r="L9" i="8"/>
  <c r="L24" i="8"/>
  <c r="K26" i="8"/>
  <c r="K27" i="8"/>
  <c r="K29" i="8"/>
  <c r="K30" i="8"/>
  <c r="K24" i="8"/>
  <c r="D9" i="8"/>
  <c r="D8" i="8"/>
  <c r="D12" i="8"/>
  <c r="C8" i="14" l="1"/>
  <c r="O2" i="16" s="1"/>
  <c r="S2" i="16" s="1"/>
  <c r="U2" i="16" s="1"/>
  <c r="L28" i="8"/>
  <c r="C9" i="14"/>
  <c r="P2" i="16" s="1"/>
  <c r="N28" i="8"/>
  <c r="D24" i="8"/>
  <c r="K28" i="8"/>
  <c r="R10" i="8"/>
  <c r="U10" i="8"/>
  <c r="G26" i="8"/>
  <c r="G27" i="8"/>
  <c r="T17" i="8"/>
  <c r="R17" i="8" s="1"/>
  <c r="R18" i="8" s="1"/>
  <c r="F28" i="8"/>
  <c r="E28" i="8" s="1"/>
  <c r="S35" i="8"/>
  <c r="S36" i="8" s="1"/>
  <c r="E10" i="8"/>
  <c r="D10" i="8"/>
  <c r="N8" i="8"/>
  <c r="F17" i="8"/>
  <c r="E17" i="8" s="1"/>
  <c r="E18" i="8" s="1"/>
  <c r="G8" i="8"/>
  <c r="G12" i="8"/>
  <c r="G30" i="8"/>
  <c r="G29" i="8"/>
  <c r="D6" i="8"/>
  <c r="E6" i="8"/>
  <c r="G9" i="8"/>
  <c r="G11" i="8"/>
  <c r="K6" i="8"/>
  <c r="D21" i="14"/>
  <c r="C25" i="14"/>
  <c r="P4" i="16" s="1"/>
  <c r="C24" i="14"/>
  <c r="D22" i="14"/>
  <c r="N9" i="8"/>
  <c r="R35" i="8"/>
  <c r="R36" i="8" s="1"/>
  <c r="U35" i="8"/>
  <c r="N11" i="8"/>
  <c r="N12" i="8"/>
  <c r="M10" i="8"/>
  <c r="C33" i="14"/>
  <c r="P5" i="16" s="1"/>
  <c r="D29" i="14"/>
  <c r="C32" i="14"/>
  <c r="C16" i="14"/>
  <c r="C17" i="14"/>
  <c r="P3" i="16" s="1"/>
  <c r="D13" i="14"/>
  <c r="C41" i="14"/>
  <c r="P6" i="16" s="1"/>
  <c r="D37" i="14"/>
  <c r="C40" i="14"/>
  <c r="D45" i="14"/>
  <c r="D49" i="14" s="1"/>
  <c r="R7" i="16" s="1"/>
  <c r="C49" i="14"/>
  <c r="P7" i="16" s="1"/>
  <c r="C48" i="14"/>
  <c r="N35" i="8"/>
  <c r="L35" i="8"/>
  <c r="L36" i="8" s="1"/>
  <c r="M36" i="8"/>
  <c r="N36" i="8" s="1"/>
  <c r="D9" i="14"/>
  <c r="R2" i="16" s="1"/>
  <c r="D8" i="14"/>
  <c r="Q2" i="16" s="1"/>
  <c r="F14" i="8" l="1"/>
  <c r="F18" i="8"/>
  <c r="G18" i="8" s="1"/>
  <c r="G17" i="8"/>
  <c r="D17" i="8"/>
  <c r="D18" i="8" s="1"/>
  <c r="S17" i="8"/>
  <c r="S18" i="8" s="1"/>
  <c r="F35" i="8"/>
  <c r="E35" i="8" s="1"/>
  <c r="E36" i="8" s="1"/>
  <c r="D28" i="8"/>
  <c r="G28" i="8"/>
  <c r="T18" i="8"/>
  <c r="U18" i="8" s="1"/>
  <c r="U17" i="8"/>
  <c r="D25" i="14"/>
  <c r="R4" i="16" s="1"/>
  <c r="O4" i="16"/>
  <c r="S4" i="16" s="1"/>
  <c r="U4" i="16" s="1"/>
  <c r="T14" i="8"/>
  <c r="D24" i="14"/>
  <c r="Q4" i="16" s="1"/>
  <c r="K10" i="8"/>
  <c r="N10" i="8"/>
  <c r="M17" i="8"/>
  <c r="L10" i="8"/>
  <c r="D48" i="14"/>
  <c r="Q7" i="16" s="1"/>
  <c r="D17" i="14"/>
  <c r="R3" i="16" s="1"/>
  <c r="D16" i="14"/>
  <c r="Q3" i="16" s="1"/>
  <c r="F32" i="8"/>
  <c r="O5" i="16"/>
  <c r="S5" i="16" s="1"/>
  <c r="U5" i="16" s="1"/>
  <c r="M32" i="8"/>
  <c r="O6" i="16"/>
  <c r="S6" i="16" s="1"/>
  <c r="U6" i="16" s="1"/>
  <c r="D33" i="14"/>
  <c r="R5" i="16" s="1"/>
  <c r="D32" i="14"/>
  <c r="Q5" i="16" s="1"/>
  <c r="O7" i="16"/>
  <c r="S7" i="16" s="1"/>
  <c r="U7" i="16" s="1"/>
  <c r="T32" i="8"/>
  <c r="D40" i="14"/>
  <c r="Q6" i="16" s="1"/>
  <c r="D41" i="14"/>
  <c r="R6" i="16" s="1"/>
  <c r="O3" i="16"/>
  <c r="S3" i="16" s="1"/>
  <c r="U3" i="16" s="1"/>
  <c r="M14" i="8"/>
  <c r="E14" i="8"/>
  <c r="E15" i="8" s="1"/>
  <c r="G14" i="8"/>
  <c r="F15" i="8"/>
  <c r="G15" i="8" s="1"/>
  <c r="D14" i="8"/>
  <c r="D15" i="8" s="1"/>
  <c r="F36" i="8" l="1"/>
  <c r="G36" i="8" s="1"/>
  <c r="G35" i="8"/>
  <c r="D35" i="8"/>
  <c r="D36" i="8" s="1"/>
  <c r="R14" i="8"/>
  <c r="R15" i="8" s="1"/>
  <c r="T15" i="8"/>
  <c r="U15" i="8" s="1"/>
  <c r="S14" i="8"/>
  <c r="S15" i="8" s="1"/>
  <c r="U14" i="8"/>
  <c r="L17" i="8"/>
  <c r="L18" i="8" s="1"/>
  <c r="M18" i="8"/>
  <c r="N18" i="8" s="1"/>
  <c r="N17" i="8"/>
  <c r="K17" i="8"/>
  <c r="K18" i="8" s="1"/>
  <c r="L14" i="8"/>
  <c r="L15" i="8" s="1"/>
  <c r="M15" i="8"/>
  <c r="N15" i="8" s="1"/>
  <c r="N14" i="8"/>
  <c r="K14" i="8"/>
  <c r="K15" i="8" s="1"/>
  <c r="S32" i="8"/>
  <c r="S33" i="8" s="1"/>
  <c r="T33" i="8"/>
  <c r="U33" i="8" s="1"/>
  <c r="U32" i="8"/>
  <c r="R32" i="8"/>
  <c r="R33" i="8" s="1"/>
  <c r="G32" i="8"/>
  <c r="E32" i="8"/>
  <c r="E33" i="8" s="1"/>
  <c r="D32" i="8"/>
  <c r="D33" i="8" s="1"/>
  <c r="F33" i="8"/>
  <c r="G33" i="8" s="1"/>
  <c r="N32" i="8"/>
  <c r="M33" i="8"/>
  <c r="N33" i="8" s="1"/>
  <c r="L32" i="8"/>
  <c r="L33" i="8" s="1"/>
  <c r="K32" i="8"/>
  <c r="K3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prova scartata, probabile combustione incompleta</t>
        </r>
      </text>
    </comment>
  </commentList>
</comments>
</file>

<file path=xl/sharedStrings.xml><?xml version="1.0" encoding="utf-8"?>
<sst xmlns="http://schemas.openxmlformats.org/spreadsheetml/2006/main" count="461" uniqueCount="67">
  <si>
    <t>Tare [g]</t>
  </si>
  <si>
    <t>Gross dry [g]</t>
  </si>
  <si>
    <t>Gross after [g]</t>
  </si>
  <si>
    <t>Gross before [g]</t>
  </si>
  <si>
    <t>Ash</t>
  </si>
  <si>
    <t>ar</t>
  </si>
  <si>
    <t>dry</t>
  </si>
  <si>
    <t>C [%]</t>
  </si>
  <si>
    <t>H [%]</t>
  </si>
  <si>
    <t>N [%]</t>
  </si>
  <si>
    <t>S [%]</t>
  </si>
  <si>
    <t>av.</t>
  </si>
  <si>
    <t>O [%]</t>
  </si>
  <si>
    <t>C</t>
  </si>
  <si>
    <t>H</t>
  </si>
  <si>
    <t>N</t>
  </si>
  <si>
    <t>S</t>
  </si>
  <si>
    <t>O</t>
  </si>
  <si>
    <t>daf</t>
  </si>
  <si>
    <t>moisture</t>
  </si>
  <si>
    <t>%wt</t>
  </si>
  <si>
    <t>-</t>
  </si>
  <si>
    <t>ash</t>
  </si>
  <si>
    <t>HHV</t>
  </si>
  <si>
    <t>MJ/kg</t>
  </si>
  <si>
    <t>LHV</t>
  </si>
  <si>
    <r>
      <t>HHV</t>
    </r>
    <r>
      <rPr>
        <vertAlign val="subscript"/>
        <sz val="11"/>
        <color theme="1"/>
        <rFont val="Calibri"/>
        <family val="2"/>
        <scheme val="minor"/>
      </rPr>
      <t>Milne</t>
    </r>
  </si>
  <si>
    <r>
      <t>LHV</t>
    </r>
    <r>
      <rPr>
        <vertAlign val="subscript"/>
        <sz val="11"/>
        <color theme="1"/>
        <rFont val="Calibri"/>
        <family val="2"/>
        <scheme val="minor"/>
      </rPr>
      <t>Milne</t>
    </r>
  </si>
  <si>
    <t>Gross stabilized [g]</t>
  </si>
  <si>
    <t>Moisture (sample)</t>
  </si>
  <si>
    <t>Moisture (stabilized sample)</t>
  </si>
  <si>
    <t>stb</t>
  </si>
  <si>
    <t>HHVstb [MJ/kg]</t>
  </si>
  <si>
    <t>HHVdry [MJ/kg]</t>
  </si>
  <si>
    <t>LHVdry [MJ/kg]</t>
  </si>
  <si>
    <t>Sample name</t>
  </si>
  <si>
    <t>Sample number</t>
  </si>
  <si>
    <t>moisture (stb)</t>
  </si>
  <si>
    <t>H (dry)</t>
  </si>
  <si>
    <t>Sample</t>
  </si>
  <si>
    <t>H2O</t>
  </si>
  <si>
    <t>HHVdry</t>
  </si>
  <si>
    <t>LHVdry</t>
  </si>
  <si>
    <t>HHVar</t>
  </si>
  <si>
    <t>LHVar</t>
  </si>
  <si>
    <t>nota</t>
  </si>
  <si>
    <t>dev.</t>
  </si>
  <si>
    <t>H2Odev</t>
  </si>
  <si>
    <t>Ashdev</t>
  </si>
  <si>
    <t>Cdev</t>
  </si>
  <si>
    <t>Hdev</t>
  </si>
  <si>
    <t>Ndev</t>
  </si>
  <si>
    <t>Sdev</t>
  </si>
  <si>
    <t>HHVdry_dev</t>
  </si>
  <si>
    <t>LHVdry_dev</t>
  </si>
  <si>
    <t>Gross ar [g]</t>
  </si>
  <si>
    <t>Dry basis          +++ remember to set the moisture of the stabilized sample in the CHNS software! +++</t>
  </si>
  <si>
    <t>stabilized sample</t>
  </si>
  <si>
    <t>as received sample</t>
  </si>
  <si>
    <t>stabilized samples</t>
  </si>
  <si>
    <t>Secco 1</t>
  </si>
  <si>
    <t>Secco 2</t>
  </si>
  <si>
    <t>Umido 1</t>
  </si>
  <si>
    <t>Umido 2</t>
  </si>
  <si>
    <t>Fanghi 1</t>
  </si>
  <si>
    <t>Fanghi 2</t>
  </si>
  <si>
    <t>samples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</si>
</sst>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0"/>
    <numFmt numFmtId="167" formatCode="0.000000000000000%"/>
    <numFmt numFmtId="168" formatCode="0.000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165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1" fillId="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/>
    <xf numFmtId="2" fontId="0" fillId="3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0" borderId="0" xfId="0" quotePrefix="1" applyNumberFormat="1" applyAlignment="1">
      <alignment horizontal="center"/>
    </xf>
    <xf numFmtId="2" fontId="0" fillId="0" borderId="2" xfId="0" quotePrefix="1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/>
    <xf numFmtId="165" fontId="0" fillId="0" borderId="0" xfId="1" applyNumberFormat="1" applyFont="1" applyAlignment="1">
      <alignment horizontal="left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quotePrefix="1" applyFill="1"/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/>
    </xf>
    <xf numFmtId="10" fontId="0" fillId="0" borderId="0" xfId="1" applyNumberFormat="1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4" fontId="1" fillId="0" borderId="0" xfId="0" quotePrefix="1" applyNumberFormat="1" applyFont="1"/>
    <xf numFmtId="165" fontId="0" fillId="0" borderId="0" xfId="0" applyNumberFormat="1"/>
    <xf numFmtId="164" fontId="1" fillId="5" borderId="0" xfId="0" applyNumberFormat="1" applyFont="1" applyFill="1"/>
    <xf numFmtId="164" fontId="0" fillId="5" borderId="0" xfId="0" applyNumberFormat="1" applyFill="1"/>
    <xf numFmtId="165" fontId="0" fillId="5" borderId="0" xfId="0" applyNumberFormat="1" applyFill="1"/>
    <xf numFmtId="0" fontId="1" fillId="5" borderId="0" xfId="0" applyFont="1" applyFill="1"/>
    <xf numFmtId="0" fontId="0" fillId="5" borderId="0" xfId="0" applyFill="1"/>
    <xf numFmtId="0" fontId="1" fillId="5" borderId="0" xfId="0" quotePrefix="1" applyFont="1" applyFill="1"/>
    <xf numFmtId="166" fontId="0" fillId="6" borderId="0" xfId="0" applyNumberFormat="1" applyFill="1" applyAlignment="1">
      <alignment horizontal="center"/>
    </xf>
    <xf numFmtId="2" fontId="0" fillId="0" borderId="0" xfId="0" applyNumberFormat="1"/>
    <xf numFmtId="164" fontId="1" fillId="0" borderId="0" xfId="0" applyNumberFormat="1" applyFont="1" applyFill="1"/>
    <xf numFmtId="164" fontId="1" fillId="0" borderId="0" xfId="0" quotePrefix="1" applyNumberFormat="1" applyFont="1" applyFill="1"/>
    <xf numFmtId="164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0" fillId="0" borderId="0" xfId="0" applyNumberFormat="1" applyFill="1"/>
    <xf numFmtId="164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center"/>
    </xf>
    <xf numFmtId="165" fontId="0" fillId="0" borderId="0" xfId="0" applyNumberForma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workbookViewId="0">
      <selection activeCell="D20" sqref="D20"/>
    </sheetView>
  </sheetViews>
  <sheetFormatPr baseColWidth="10" defaultColWidth="8.83203125" defaultRowHeight="15" x14ac:dyDescent="0.2"/>
  <cols>
    <col min="1" max="1" width="9.1640625"/>
    <col min="2" max="2" width="15.1640625" bestFit="1" customWidth="1"/>
    <col min="3" max="3" width="15.33203125" bestFit="1" customWidth="1"/>
  </cols>
  <sheetData>
    <row r="2" spans="2:3" x14ac:dyDescent="0.2">
      <c r="B2" t="s">
        <v>36</v>
      </c>
      <c r="C2" t="s">
        <v>35</v>
      </c>
    </row>
    <row r="3" spans="2:3" x14ac:dyDescent="0.2">
      <c r="B3">
        <v>1</v>
      </c>
      <c r="C3" s="4" t="s">
        <v>60</v>
      </c>
    </row>
    <row r="4" spans="2:3" x14ac:dyDescent="0.2">
      <c r="B4">
        <v>2</v>
      </c>
      <c r="C4" s="4" t="s">
        <v>61</v>
      </c>
    </row>
    <row r="5" spans="2:3" x14ac:dyDescent="0.2">
      <c r="B5">
        <v>3</v>
      </c>
      <c r="C5" s="4" t="s">
        <v>62</v>
      </c>
    </row>
    <row r="6" spans="2:3" x14ac:dyDescent="0.2">
      <c r="B6">
        <v>4</v>
      </c>
      <c r="C6" s="30" t="s">
        <v>63</v>
      </c>
    </row>
    <row r="7" spans="2:3" x14ac:dyDescent="0.2">
      <c r="B7">
        <v>5</v>
      </c>
      <c r="C7" s="30" t="s">
        <v>64</v>
      </c>
    </row>
    <row r="8" spans="2:3" x14ac:dyDescent="0.2">
      <c r="B8">
        <v>6</v>
      </c>
      <c r="C8" s="30" t="s">
        <v>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99"/>
  <sheetViews>
    <sheetView zoomScale="85" zoomScaleNormal="85" workbookViewId="0">
      <pane ySplit="1" topLeftCell="A2" activePane="bottomLeft" state="frozen"/>
      <selection pane="bottomLeft" activeCell="F80" sqref="F80"/>
    </sheetView>
  </sheetViews>
  <sheetFormatPr baseColWidth="10" defaultColWidth="8.83203125" defaultRowHeight="15" x14ac:dyDescent="0.2"/>
  <cols>
    <col min="2" max="2" width="9.1640625" style="3"/>
    <col min="3" max="3" width="12.5" style="3" bestFit="1" customWidth="1"/>
    <col min="4" max="4" width="12" style="3" bestFit="1" customWidth="1"/>
    <col min="5" max="5" width="17.5" style="42" bestFit="1" customWidth="1"/>
    <col min="6" max="6" width="17.5" customWidth="1"/>
    <col min="7" max="7" width="9.1640625" style="3"/>
    <col min="8" max="8" width="18" style="3" bestFit="1" customWidth="1"/>
    <col min="9" max="9" width="12" style="3" bestFit="1" customWidth="1"/>
    <col min="10" max="10" width="26.83203125" style="42" bestFit="1" customWidth="1"/>
    <col min="12" max="12" width="20.5" bestFit="1" customWidth="1"/>
  </cols>
  <sheetData>
    <row r="1" spans="2:12" x14ac:dyDescent="0.2">
      <c r="B1" s="43" t="s">
        <v>58</v>
      </c>
      <c r="C1" s="44"/>
      <c r="D1" s="44"/>
      <c r="E1" s="45"/>
      <c r="G1" s="43" t="s">
        <v>57</v>
      </c>
      <c r="H1" s="44"/>
      <c r="I1" s="44"/>
      <c r="J1" s="45"/>
    </row>
    <row r="3" spans="2:12" x14ac:dyDescent="0.2">
      <c r="B3" s="25" t="str">
        <f>IF(ISBLANK('Samples list'!C3),"n.d.",'Samples list'!C3)</f>
        <v>Secco 1</v>
      </c>
      <c r="C3" s="41"/>
      <c r="G3" s="25" t="str">
        <f>B3</f>
        <v>Secco 1</v>
      </c>
      <c r="H3" s="41"/>
    </row>
    <row r="4" spans="2:12" x14ac:dyDescent="0.2">
      <c r="B4" s="24" t="s">
        <v>0</v>
      </c>
      <c r="C4" s="24" t="s">
        <v>55</v>
      </c>
      <c r="D4" s="24" t="s">
        <v>1</v>
      </c>
      <c r="E4" s="36" t="s">
        <v>29</v>
      </c>
      <c r="F4" s="6"/>
      <c r="G4" s="24" t="s">
        <v>0</v>
      </c>
      <c r="H4" s="24" t="s">
        <v>28</v>
      </c>
      <c r="I4" s="24" t="s">
        <v>1</v>
      </c>
      <c r="J4" s="36" t="s">
        <v>30</v>
      </c>
      <c r="L4" s="5"/>
    </row>
    <row r="5" spans="2:12" x14ac:dyDescent="0.2">
      <c r="B5" s="27">
        <v>1.29</v>
      </c>
      <c r="C5" s="27">
        <v>2.306</v>
      </c>
      <c r="D5" s="27">
        <v>2.2389999999999999</v>
      </c>
      <c r="E5" s="7">
        <f>(C5-D5)/(C5-B5)</f>
        <v>6.594488188976394E-2</v>
      </c>
      <c r="F5" s="37"/>
      <c r="G5" s="27">
        <v>1.306</v>
      </c>
      <c r="H5" s="27">
        <f>G5+1.389</f>
        <v>2.6950000000000003</v>
      </c>
      <c r="I5" s="27">
        <v>2.657</v>
      </c>
      <c r="J5" s="7">
        <f>(H5-I5)/(H5-G5)</f>
        <v>2.7357811375090173E-2</v>
      </c>
      <c r="L5" s="5"/>
    </row>
    <row r="6" spans="2:12" x14ac:dyDescent="0.2">
      <c r="B6" s="27">
        <v>1.2749999999999999</v>
      </c>
      <c r="C6" s="27">
        <v>2.6399999999999997</v>
      </c>
      <c r="D6" s="27">
        <v>2.5489999999999999</v>
      </c>
      <c r="E6" s="7">
        <f>(C6-D6)/(C6-B6)</f>
        <v>6.6666666666666499E-2</v>
      </c>
      <c r="F6" s="37"/>
      <c r="G6" s="27">
        <v>1.272</v>
      </c>
      <c r="H6" s="27">
        <f>G6+1.884</f>
        <v>3.1559999999999997</v>
      </c>
      <c r="I6" s="27">
        <v>3.1070000000000002</v>
      </c>
      <c r="J6" s="7">
        <f>(H6-I6)/(H6-G6)</f>
        <v>2.6008492569001857E-2</v>
      </c>
      <c r="L6" s="5"/>
    </row>
    <row r="7" spans="2:12" x14ac:dyDescent="0.2">
      <c r="B7" s="27">
        <v>1.286</v>
      </c>
      <c r="C7" s="27">
        <v>2.9630000000000001</v>
      </c>
      <c r="D7" s="27">
        <v>2.8519999999999999</v>
      </c>
      <c r="E7" s="7">
        <f>(C7-D7)/(C7-B7)</f>
        <v>6.6189624329159341E-2</v>
      </c>
      <c r="F7" s="37"/>
      <c r="G7" s="27">
        <v>1.3029999999999999</v>
      </c>
      <c r="H7" s="27">
        <f>G7+1.263</f>
        <v>2.5659999999999998</v>
      </c>
      <c r="I7" s="27">
        <v>2.536</v>
      </c>
      <c r="J7" s="7">
        <f>(H7-I7)/(H7-G7)</f>
        <v>2.3752969121139989E-2</v>
      </c>
    </row>
    <row r="8" spans="2:12" x14ac:dyDescent="0.2">
      <c r="B8" s="24"/>
      <c r="C8" s="24"/>
      <c r="D8" s="35" t="s">
        <v>11</v>
      </c>
      <c r="E8" s="8">
        <f>AVERAGE(E5:E7)</f>
        <v>6.6267057628529927E-2</v>
      </c>
      <c r="F8" s="38"/>
      <c r="G8" s="24"/>
      <c r="H8" s="24"/>
      <c r="I8" s="35" t="s">
        <v>11</v>
      </c>
      <c r="J8" s="8">
        <f>AVERAGE(J5:J7)</f>
        <v>2.5706424355077338E-2</v>
      </c>
      <c r="L8" s="10"/>
    </row>
    <row r="9" spans="2:12" x14ac:dyDescent="0.2">
      <c r="D9" s="35" t="s">
        <v>46</v>
      </c>
      <c r="E9" s="36">
        <f>_xlfn.STDEV.P(E5:E7)</f>
        <v>2.997112531872751E-4</v>
      </c>
      <c r="F9" s="39"/>
      <c r="I9" s="35" t="s">
        <v>46</v>
      </c>
      <c r="J9" s="36">
        <f>_xlfn.STDEV.P(J5:J7)</f>
        <v>1.4870901840762321E-3</v>
      </c>
    </row>
    <row r="11" spans="2:12" x14ac:dyDescent="0.2">
      <c r="B11" s="25" t="str">
        <f>IF(ISBLANK('Samples list'!C4),"n.d.",'Samples list'!C4)</f>
        <v>Secco 2</v>
      </c>
      <c r="C11" s="41"/>
      <c r="D11" s="24"/>
      <c r="E11" s="36"/>
      <c r="F11" s="6"/>
      <c r="G11" s="25" t="str">
        <f>B11</f>
        <v>Secco 2</v>
      </c>
      <c r="H11" s="41"/>
      <c r="I11" s="24"/>
    </row>
    <row r="12" spans="2:12" x14ac:dyDescent="0.2">
      <c r="B12" s="24" t="s">
        <v>0</v>
      </c>
      <c r="C12" s="24" t="s">
        <v>55</v>
      </c>
      <c r="D12" s="24" t="s">
        <v>1</v>
      </c>
      <c r="E12" s="36" t="s">
        <v>29</v>
      </c>
      <c r="F12" s="6"/>
      <c r="G12" s="24" t="s">
        <v>0</v>
      </c>
      <c r="H12" s="24" t="s">
        <v>28</v>
      </c>
      <c r="I12" s="24" t="s">
        <v>1</v>
      </c>
      <c r="J12" s="36" t="s">
        <v>30</v>
      </c>
    </row>
    <row r="13" spans="2:12" x14ac:dyDescent="0.2">
      <c r="B13" s="27">
        <v>1.286</v>
      </c>
      <c r="C13" s="27">
        <v>2.6320000000000001</v>
      </c>
      <c r="D13" s="27">
        <v>2.4540000000000002</v>
      </c>
      <c r="E13" s="7">
        <f>(C13-D13)/(C13-B13)</f>
        <v>0.13224368499257053</v>
      </c>
      <c r="F13" s="37"/>
      <c r="G13" s="27">
        <v>1.3080000000000001</v>
      </c>
      <c r="H13" s="27">
        <f>G13+1.462</f>
        <v>2.77</v>
      </c>
      <c r="I13" s="27">
        <v>2.7250000000000001</v>
      </c>
      <c r="J13" s="7">
        <f>(H13-I13)/(H13-G13)</f>
        <v>3.0779753761969855E-2</v>
      </c>
    </row>
    <row r="14" spans="2:12" x14ac:dyDescent="0.2">
      <c r="B14" s="27">
        <v>1.2949999999999999</v>
      </c>
      <c r="C14" s="27">
        <v>2.3689999999999998</v>
      </c>
      <c r="D14" s="27">
        <v>2.23</v>
      </c>
      <c r="E14" s="7">
        <f>(C14-D14)/(C14-B14)</f>
        <v>0.1294227188081935</v>
      </c>
      <c r="F14" s="37"/>
      <c r="G14" s="27">
        <v>1.296</v>
      </c>
      <c r="H14" s="27">
        <f>G14+1.939</f>
        <v>3.2350000000000003</v>
      </c>
      <c r="I14" s="27">
        <v>3.177</v>
      </c>
      <c r="J14" s="7">
        <f>(H14-I14)/(H14-G14)</f>
        <v>2.9912325941206946E-2</v>
      </c>
      <c r="L14" s="10"/>
    </row>
    <row r="15" spans="2:12" x14ac:dyDescent="0.2">
      <c r="B15" s="27">
        <v>1.2729999999999999</v>
      </c>
      <c r="C15" s="27">
        <v>3.137</v>
      </c>
      <c r="D15" s="27">
        <v>2.9159999999999999</v>
      </c>
      <c r="E15" s="7">
        <f>(C15-D15)/(C15-B15)</f>
        <v>0.11856223175965669</v>
      </c>
      <c r="F15" s="37"/>
      <c r="G15" s="27">
        <v>1.28</v>
      </c>
      <c r="H15" s="27">
        <f>G15+1.288</f>
        <v>2.5680000000000001</v>
      </c>
      <c r="I15" s="27">
        <v>2.5289999999999999</v>
      </c>
      <c r="J15" s="7">
        <f>(H15-I15)/(H15-G15)</f>
        <v>3.0279503105590175E-2</v>
      </c>
    </row>
    <row r="16" spans="2:12" x14ac:dyDescent="0.2">
      <c r="D16" s="35" t="s">
        <v>11</v>
      </c>
      <c r="E16" s="8">
        <f>AVERAGE(E13:E15)</f>
        <v>0.12674287852014024</v>
      </c>
      <c r="F16" s="38"/>
      <c r="I16" s="35" t="s">
        <v>11</v>
      </c>
      <c r="J16" s="8">
        <f>AVERAGE(J13:J15)</f>
        <v>3.0323860936255661E-2</v>
      </c>
    </row>
    <row r="17" spans="2:10" x14ac:dyDescent="0.2">
      <c r="C17" s="25"/>
      <c r="D17" s="35" t="s">
        <v>46</v>
      </c>
      <c r="E17" s="36">
        <f>_xlfn.STDEV.P(E13:E15)</f>
        <v>5.8981182659221731E-3</v>
      </c>
      <c r="F17" s="39"/>
      <c r="H17" s="25"/>
      <c r="I17" s="35" t="s">
        <v>46</v>
      </c>
      <c r="J17" s="36">
        <f>_xlfn.STDEV.P(J13:J15)</f>
        <v>3.5551227725108954E-4</v>
      </c>
    </row>
    <row r="19" spans="2:10" x14ac:dyDescent="0.2">
      <c r="B19" s="25" t="str">
        <f>IF(ISBLANK('Samples list'!C5),"n.d.",'Samples list'!C5)</f>
        <v>Umido 1</v>
      </c>
      <c r="C19" s="41"/>
      <c r="D19" s="24"/>
      <c r="E19" s="36"/>
      <c r="F19" s="6"/>
      <c r="G19" s="25" t="str">
        <f>B19</f>
        <v>Umido 1</v>
      </c>
      <c r="H19" s="41"/>
      <c r="I19" s="24"/>
    </row>
    <row r="20" spans="2:10" x14ac:dyDescent="0.2">
      <c r="B20" s="24" t="s">
        <v>0</v>
      </c>
      <c r="C20" s="24" t="s">
        <v>55</v>
      </c>
      <c r="D20" s="24" t="s">
        <v>1</v>
      </c>
      <c r="E20" s="36" t="s">
        <v>29</v>
      </c>
      <c r="F20" s="6"/>
      <c r="G20" s="24" t="s">
        <v>0</v>
      </c>
      <c r="H20" s="24" t="s">
        <v>28</v>
      </c>
      <c r="I20" s="24" t="s">
        <v>1</v>
      </c>
      <c r="J20" s="36" t="s">
        <v>30</v>
      </c>
    </row>
    <row r="21" spans="2:10" x14ac:dyDescent="0.2">
      <c r="B21" s="27">
        <v>1.2969999999999999</v>
      </c>
      <c r="C21" s="27">
        <v>3.0910000000000002</v>
      </c>
      <c r="D21" s="27">
        <v>1.6759999999999999</v>
      </c>
      <c r="E21" s="7">
        <f>(C21-D21)/(C21-B21)</f>
        <v>0.78874024526198439</v>
      </c>
      <c r="F21" s="37"/>
      <c r="G21" s="27">
        <v>1.278</v>
      </c>
      <c r="H21" s="27">
        <f>G21+1.797</f>
        <v>3.0750000000000002</v>
      </c>
      <c r="I21" s="27">
        <v>3.016</v>
      </c>
      <c r="J21" s="7">
        <f>(H21-I21)/(H21-G21)</f>
        <v>3.2832498608792518E-2</v>
      </c>
    </row>
    <row r="22" spans="2:10" x14ac:dyDescent="0.2">
      <c r="B22" s="27">
        <v>1.292</v>
      </c>
      <c r="C22" s="27">
        <v>2.9290000000000003</v>
      </c>
      <c r="D22" s="27">
        <v>1.68</v>
      </c>
      <c r="E22" s="7">
        <f>(C22-D22)/(C22-B22)</f>
        <v>0.76298106291997569</v>
      </c>
      <c r="F22" s="37"/>
      <c r="G22" s="27">
        <v>1.288</v>
      </c>
      <c r="H22" s="27">
        <f t="shared" ref="H22" si="0">G22+1.797</f>
        <v>3.085</v>
      </c>
      <c r="I22" s="27">
        <v>3.0169999999999999</v>
      </c>
      <c r="J22" s="7">
        <f>(H22-I22)/(H22-G22)</f>
        <v>3.7840845854201485E-2</v>
      </c>
    </row>
    <row r="23" spans="2:10" x14ac:dyDescent="0.2">
      <c r="B23" s="27">
        <v>1.294</v>
      </c>
      <c r="C23" s="27">
        <v>3.2270000000000003</v>
      </c>
      <c r="D23" s="27">
        <v>1.696</v>
      </c>
      <c r="E23" s="7">
        <f>(C23-D23)/(C23-B23)</f>
        <v>0.79203310915675129</v>
      </c>
      <c r="F23" s="37"/>
      <c r="G23" s="27">
        <v>1.294</v>
      </c>
      <c r="H23" s="27">
        <f>G23+1.786</f>
        <v>3.08</v>
      </c>
      <c r="I23" s="27">
        <v>3.012</v>
      </c>
      <c r="J23" s="7">
        <f>(H23-I23)/(H23-G23)</f>
        <v>3.8073908174692084E-2</v>
      </c>
    </row>
    <row r="24" spans="2:10" x14ac:dyDescent="0.2">
      <c r="D24" s="35" t="s">
        <v>11</v>
      </c>
      <c r="E24" s="8">
        <f>AVERAGE(E21:E23)</f>
        <v>0.78125147244623705</v>
      </c>
      <c r="F24" s="38"/>
      <c r="I24" s="35" t="s">
        <v>11</v>
      </c>
      <c r="J24" s="8">
        <f>AVERAGE(J21:J23)</f>
        <v>3.6249084212562031E-2</v>
      </c>
    </row>
    <row r="25" spans="2:10" x14ac:dyDescent="0.2">
      <c r="D25" s="35" t="s">
        <v>46</v>
      </c>
      <c r="E25" s="36">
        <f>_xlfn.STDEV.P(E21:E23)</f>
        <v>1.2988883358481158E-2</v>
      </c>
      <c r="F25" s="39"/>
      <c r="I25" s="35" t="s">
        <v>46</v>
      </c>
      <c r="J25" s="36">
        <f>_xlfn.STDEV.P(J21:J23)</f>
        <v>2.4177637604781161E-3</v>
      </c>
    </row>
    <row r="27" spans="2:10" x14ac:dyDescent="0.2">
      <c r="B27" s="25" t="str">
        <f>IF(ISBLANK('Samples list'!C6),"n.d.",'Samples list'!C6)</f>
        <v>Umido 2</v>
      </c>
      <c r="C27" s="41"/>
      <c r="G27" s="25" t="str">
        <f>B27</f>
        <v>Umido 2</v>
      </c>
      <c r="H27" s="41"/>
    </row>
    <row r="28" spans="2:10" x14ac:dyDescent="0.2">
      <c r="B28" s="24" t="s">
        <v>0</v>
      </c>
      <c r="C28" s="24" t="s">
        <v>55</v>
      </c>
      <c r="D28" s="24" t="s">
        <v>1</v>
      </c>
      <c r="E28" s="36" t="s">
        <v>29</v>
      </c>
      <c r="F28" s="6"/>
      <c r="G28" s="24" t="s">
        <v>0</v>
      </c>
      <c r="H28" s="24" t="s">
        <v>28</v>
      </c>
      <c r="I28" s="24" t="s">
        <v>1</v>
      </c>
      <c r="J28" s="36" t="s">
        <v>30</v>
      </c>
    </row>
    <row r="29" spans="2:10" x14ac:dyDescent="0.2">
      <c r="B29" s="27">
        <v>1.286</v>
      </c>
      <c r="C29" s="27">
        <v>2.629</v>
      </c>
      <c r="D29" s="27">
        <v>1.6839999999999999</v>
      </c>
      <c r="E29" s="7">
        <f>(C29-D29)/(C29-B29)</f>
        <v>0.70364854802680576</v>
      </c>
      <c r="F29" s="40"/>
      <c r="G29" s="27">
        <v>1.2769999999999999</v>
      </c>
      <c r="H29" s="27">
        <f>G29+1.021</f>
        <v>2.298</v>
      </c>
      <c r="I29" s="27">
        <v>2.278</v>
      </c>
      <c r="J29" s="7">
        <f>(H29-I29)/(H29-G29)</f>
        <v>1.9588638589618037E-2</v>
      </c>
    </row>
    <row r="30" spans="2:10" x14ac:dyDescent="0.2">
      <c r="B30" s="27">
        <v>1.28</v>
      </c>
      <c r="C30" s="27">
        <v>3.1420000000000003</v>
      </c>
      <c r="D30" s="27">
        <v>1.8180000000000001</v>
      </c>
      <c r="E30" s="7">
        <f>(C30-D30)/(C30-B30)</f>
        <v>0.71106337271750808</v>
      </c>
      <c r="F30" s="40"/>
      <c r="G30" s="27">
        <v>1.2929999999999999</v>
      </c>
      <c r="H30" s="27">
        <f>G30+1.134</f>
        <v>2.4269999999999996</v>
      </c>
      <c r="I30" s="27">
        <v>2.4119999999999999</v>
      </c>
      <c r="J30" s="7">
        <f>(H30-I30)/(H30-G30)</f>
        <v>1.3227513227512949E-2</v>
      </c>
    </row>
    <row r="31" spans="2:10" x14ac:dyDescent="0.2">
      <c r="B31" s="27">
        <v>1.2909999999999999</v>
      </c>
      <c r="C31" s="27">
        <v>2.7439999999999998</v>
      </c>
      <c r="D31" s="27">
        <v>1.736</v>
      </c>
      <c r="E31" s="7">
        <f>(C31-D31)/(C31-B31)</f>
        <v>0.6937370956641431</v>
      </c>
      <c r="F31" s="40"/>
      <c r="G31" s="27">
        <v>1.3069999999999999</v>
      </c>
      <c r="H31" s="27">
        <f>G31+1.235</f>
        <v>2.5419999999999998</v>
      </c>
      <c r="I31" s="27">
        <v>2.5259999999999998</v>
      </c>
      <c r="J31" s="7">
        <f>(H31-I31)/(H31-G31)</f>
        <v>1.2955465587044548E-2</v>
      </c>
    </row>
    <row r="32" spans="2:10" x14ac:dyDescent="0.2">
      <c r="B32" s="24"/>
      <c r="C32" s="24"/>
      <c r="D32" s="35" t="s">
        <v>11</v>
      </c>
      <c r="E32" s="8">
        <f>AVERAGE(E29:E31)</f>
        <v>0.70281633880281902</v>
      </c>
      <c r="F32" s="38"/>
      <c r="G32" s="24"/>
      <c r="H32" s="24"/>
      <c r="I32" s="35" t="s">
        <v>11</v>
      </c>
      <c r="J32" s="8">
        <f>AVERAGE(J29:J31)</f>
        <v>1.5257205801391846E-2</v>
      </c>
    </row>
    <row r="33" spans="2:10" x14ac:dyDescent="0.2">
      <c r="D33" s="35" t="s">
        <v>46</v>
      </c>
      <c r="E33" s="36">
        <f>_xlfn.STDEV.P(E29:E31)</f>
        <v>7.0978587511472775E-3</v>
      </c>
      <c r="F33" s="39"/>
      <c r="I33" s="35" t="s">
        <v>46</v>
      </c>
      <c r="J33" s="36">
        <f>_xlfn.STDEV.P(J29:J31)</f>
        <v>3.0647985228898595E-3</v>
      </c>
    </row>
    <row r="35" spans="2:10" x14ac:dyDescent="0.2">
      <c r="B35" s="25" t="str">
        <f>IF(ISBLANK('Samples list'!C7),"n.d.",'Samples list'!C7)</f>
        <v>Fanghi 1</v>
      </c>
      <c r="C35" s="41"/>
      <c r="D35" s="24"/>
      <c r="E35" s="36"/>
      <c r="F35" s="6"/>
      <c r="G35" s="25" t="str">
        <f>B35</f>
        <v>Fanghi 1</v>
      </c>
      <c r="H35" s="41"/>
      <c r="I35" s="24"/>
    </row>
    <row r="36" spans="2:10" x14ac:dyDescent="0.2">
      <c r="B36" s="24" t="s">
        <v>0</v>
      </c>
      <c r="C36" s="24" t="s">
        <v>55</v>
      </c>
      <c r="D36" s="24" t="s">
        <v>1</v>
      </c>
      <c r="E36" s="36" t="s">
        <v>29</v>
      </c>
      <c r="F36" s="6"/>
      <c r="G36" s="24" t="s">
        <v>0</v>
      </c>
      <c r="H36" s="24" t="s">
        <v>28</v>
      </c>
      <c r="I36" s="24" t="s">
        <v>1</v>
      </c>
      <c r="J36" s="36" t="s">
        <v>30</v>
      </c>
    </row>
    <row r="37" spans="2:10" x14ac:dyDescent="0.2">
      <c r="B37" s="27">
        <v>1.306</v>
      </c>
      <c r="C37" s="27">
        <v>3.0170000000000003</v>
      </c>
      <c r="D37" s="27">
        <v>1.5609999999999999</v>
      </c>
      <c r="E37" s="7">
        <f>(C37-D37)/(C37-B37)</f>
        <v>0.85096434833430756</v>
      </c>
      <c r="F37" s="37"/>
      <c r="G37" s="27">
        <v>1.2849999999999999</v>
      </c>
      <c r="H37" s="27">
        <f>G37+1.963</f>
        <v>3.2480000000000002</v>
      </c>
      <c r="I37" s="27">
        <v>3.1890000000000001</v>
      </c>
      <c r="J37" s="7">
        <f>(H37-I37)/(H37-G37)</f>
        <v>3.0056036678553312E-2</v>
      </c>
    </row>
    <row r="38" spans="2:10" x14ac:dyDescent="0.2">
      <c r="B38" s="27">
        <v>1.272</v>
      </c>
      <c r="C38" s="27">
        <v>3.1429999999999998</v>
      </c>
      <c r="D38" s="27">
        <v>1.55</v>
      </c>
      <c r="E38" s="7">
        <f>(C38-D38)/(C38-B38)</f>
        <v>0.85141635489043288</v>
      </c>
      <c r="F38" s="37"/>
      <c r="G38" s="27">
        <v>1.28</v>
      </c>
      <c r="H38" s="27">
        <f>G38+1.935</f>
        <v>3.2149999999999999</v>
      </c>
      <c r="I38" s="27">
        <v>3.153</v>
      </c>
      <c r="J38" s="7">
        <f>(H38-I38)/(H38-G38)</f>
        <v>3.2041343669250565E-2</v>
      </c>
    </row>
    <row r="39" spans="2:10" x14ac:dyDescent="0.2">
      <c r="B39" s="27">
        <v>1.282</v>
      </c>
      <c r="C39" s="27">
        <v>3.0540000000000003</v>
      </c>
      <c r="D39" s="27">
        <v>1.5429999999999999</v>
      </c>
      <c r="E39" s="7">
        <f>(C39-D39)/(C39-B39)</f>
        <v>0.85270880361173818</v>
      </c>
      <c r="F39" s="37"/>
      <c r="G39" s="27">
        <v>1.2909999999999999</v>
      </c>
      <c r="H39" s="27">
        <f>G39+1.9</f>
        <v>3.1909999999999998</v>
      </c>
      <c r="I39" s="27">
        <v>3.1339999999999999</v>
      </c>
      <c r="J39" s="7">
        <f>(H39-I39)/(H39-G39)</f>
        <v>2.9999999999999971E-2</v>
      </c>
    </row>
    <row r="40" spans="2:10" x14ac:dyDescent="0.2">
      <c r="D40" s="35" t="s">
        <v>11</v>
      </c>
      <c r="E40" s="8">
        <f>AVERAGE(E37:E39)</f>
        <v>0.85169650227882621</v>
      </c>
      <c r="F40" s="38"/>
      <c r="I40" s="35" t="s">
        <v>11</v>
      </c>
      <c r="J40" s="8">
        <f>AVERAGE(J37:J39)</f>
        <v>3.0699126782601283E-2</v>
      </c>
    </row>
    <row r="41" spans="2:10" x14ac:dyDescent="0.2">
      <c r="C41" s="25"/>
      <c r="D41" s="35" t="s">
        <v>46</v>
      </c>
      <c r="E41" s="36">
        <f>_xlfn.STDEV.P(E37:E39)</f>
        <v>7.3920812277128889E-4</v>
      </c>
      <c r="F41" s="39"/>
      <c r="H41" s="25"/>
      <c r="I41" s="35" t="s">
        <v>46</v>
      </c>
      <c r="J41" s="36">
        <f>_xlfn.STDEV.P(J37:J39)</f>
        <v>9.4936633443600731E-4</v>
      </c>
    </row>
    <row r="43" spans="2:10" x14ac:dyDescent="0.2">
      <c r="B43" s="25" t="str">
        <f>IF(ISBLANK('Samples list'!C8),"n.d.",'Samples list'!C8)</f>
        <v>Fanghi 2</v>
      </c>
      <c r="C43" s="41"/>
      <c r="D43" s="24"/>
      <c r="E43" s="36"/>
      <c r="F43" s="6"/>
      <c r="G43" s="25" t="str">
        <f>B43</f>
        <v>Fanghi 2</v>
      </c>
      <c r="H43" s="41"/>
      <c r="I43" s="24"/>
    </row>
    <row r="44" spans="2:10" x14ac:dyDescent="0.2">
      <c r="B44" s="24" t="s">
        <v>0</v>
      </c>
      <c r="C44" s="24" t="s">
        <v>55</v>
      </c>
      <c r="D44" s="24" t="s">
        <v>1</v>
      </c>
      <c r="E44" s="36" t="s">
        <v>29</v>
      </c>
      <c r="F44" s="6"/>
      <c r="G44" s="24" t="s">
        <v>0</v>
      </c>
      <c r="H44" s="24" t="s">
        <v>28</v>
      </c>
      <c r="I44" s="24" t="s">
        <v>1</v>
      </c>
      <c r="J44" s="36" t="s">
        <v>30</v>
      </c>
    </row>
    <row r="45" spans="2:10" x14ac:dyDescent="0.2">
      <c r="B45" s="27">
        <v>1.3080000000000001</v>
      </c>
      <c r="C45" s="27">
        <v>2.3940000000000001</v>
      </c>
      <c r="D45" s="27">
        <v>1.464</v>
      </c>
      <c r="E45" s="7">
        <f>(C45-D45)/(C45-B45)</f>
        <v>0.85635359116022103</v>
      </c>
      <c r="F45" s="37"/>
      <c r="G45" s="27">
        <v>1.286</v>
      </c>
      <c r="H45" s="27">
        <f>G45+1.565</f>
        <v>2.851</v>
      </c>
      <c r="I45" s="27">
        <v>2.8109999999999999</v>
      </c>
      <c r="J45" s="7">
        <f>(H45-I45)/(H45-G45)</f>
        <v>2.5559105431309927E-2</v>
      </c>
    </row>
    <row r="46" spans="2:10" x14ac:dyDescent="0.2">
      <c r="B46" s="27">
        <v>1.296</v>
      </c>
      <c r="C46" s="27">
        <v>2.6420000000000003</v>
      </c>
      <c r="D46" s="27">
        <v>1.4910000000000001</v>
      </c>
      <c r="E46" s="7">
        <f>(C46-D46)/(C46-B46)</f>
        <v>0.85512630014858837</v>
      </c>
      <c r="F46" s="37"/>
      <c r="G46" s="27">
        <v>1.2929999999999999</v>
      </c>
      <c r="H46" s="27">
        <f>G46+1.699</f>
        <v>2.992</v>
      </c>
      <c r="I46" s="27">
        <v>2.9470000000000001</v>
      </c>
      <c r="J46" s="7">
        <f>(H46-I46)/(H46-G46)</f>
        <v>2.6486168334314261E-2</v>
      </c>
    </row>
    <row r="47" spans="2:10" x14ac:dyDescent="0.2">
      <c r="B47" s="27">
        <v>1.302</v>
      </c>
      <c r="C47" s="27">
        <v>2.8040000000000003</v>
      </c>
      <c r="D47" s="27">
        <v>1.498</v>
      </c>
      <c r="E47" s="7">
        <f>(C47-D47)/(C47-B47)</f>
        <v>0.8695073235685753</v>
      </c>
      <c r="F47" s="37"/>
      <c r="G47" s="27">
        <v>1.288</v>
      </c>
      <c r="H47" s="27">
        <f>G47+1.936</f>
        <v>3.2240000000000002</v>
      </c>
      <c r="I47" s="27">
        <v>3.1720000000000002</v>
      </c>
      <c r="J47" s="7">
        <f>(H47-I47)/(H47-G47)</f>
        <v>2.6859504132231427E-2</v>
      </c>
    </row>
    <row r="48" spans="2:10" x14ac:dyDescent="0.2">
      <c r="D48" s="35" t="s">
        <v>11</v>
      </c>
      <c r="E48" s="8">
        <f>AVERAGE(E45:E47)</f>
        <v>0.86032907162579486</v>
      </c>
      <c r="F48" s="38"/>
      <c r="I48" s="35" t="s">
        <v>11</v>
      </c>
      <c r="J48" s="8">
        <f>AVERAGE(J45:J47)</f>
        <v>2.630159263261854E-2</v>
      </c>
    </row>
    <row r="49" spans="2:10" x14ac:dyDescent="0.2">
      <c r="D49" s="35" t="s">
        <v>46</v>
      </c>
      <c r="E49" s="36">
        <f>_xlfn.STDEV.P(E45:E47)</f>
        <v>6.5093160086485639E-3</v>
      </c>
      <c r="F49" s="39"/>
      <c r="I49" s="35" t="s">
        <v>46</v>
      </c>
      <c r="J49" s="36">
        <f>_xlfn.STDEV.P(J45:J47)</f>
        <v>5.4669329462501612E-4</v>
      </c>
    </row>
    <row r="51" spans="2:10" x14ac:dyDescent="0.2">
      <c r="B51" s="51"/>
      <c r="C51" s="52"/>
      <c r="D51" s="53"/>
      <c r="E51" s="54"/>
      <c r="F51" s="6"/>
      <c r="G51" s="25"/>
      <c r="H51" s="41"/>
      <c r="I51" s="24"/>
    </row>
    <row r="52" spans="2:10" x14ac:dyDescent="0.2">
      <c r="B52" s="53"/>
      <c r="C52" s="53"/>
      <c r="D52" s="53"/>
      <c r="E52" s="54"/>
      <c r="F52" s="6"/>
      <c r="J52" s="3"/>
    </row>
    <row r="53" spans="2:10" x14ac:dyDescent="0.2">
      <c r="B53" s="53"/>
      <c r="C53" s="53"/>
      <c r="D53" s="53"/>
      <c r="E53" s="40"/>
      <c r="F53" s="37"/>
      <c r="J53" s="3"/>
    </row>
    <row r="54" spans="2:10" x14ac:dyDescent="0.2">
      <c r="B54" s="53"/>
      <c r="C54" s="53"/>
      <c r="D54" s="53"/>
      <c r="E54" s="40"/>
      <c r="F54" s="37"/>
      <c r="J54" s="3"/>
    </row>
    <row r="55" spans="2:10" x14ac:dyDescent="0.2">
      <c r="B55" s="53"/>
      <c r="C55" s="53"/>
      <c r="D55" s="53"/>
      <c r="E55" s="40"/>
      <c r="F55" s="37"/>
      <c r="J55" s="3"/>
    </row>
    <row r="56" spans="2:10" x14ac:dyDescent="0.2">
      <c r="B56" s="55"/>
      <c r="C56" s="55"/>
      <c r="D56" s="56"/>
      <c r="E56" s="57"/>
      <c r="F56" s="38"/>
      <c r="J56" s="3"/>
    </row>
    <row r="57" spans="2:10" x14ac:dyDescent="0.2">
      <c r="B57" s="55"/>
      <c r="C57" s="55"/>
      <c r="D57" s="56"/>
      <c r="E57" s="54"/>
      <c r="F57" s="39"/>
      <c r="J57" s="3"/>
    </row>
    <row r="58" spans="2:10" x14ac:dyDescent="0.2">
      <c r="B58" s="55"/>
      <c r="C58" s="55"/>
      <c r="D58" s="55"/>
      <c r="E58" s="58"/>
      <c r="J58" s="3"/>
    </row>
    <row r="59" spans="2:10" x14ac:dyDescent="0.2">
      <c r="B59" s="51"/>
      <c r="C59" s="52"/>
      <c r="D59" s="53"/>
      <c r="E59" s="54"/>
      <c r="F59" s="6"/>
      <c r="J59" s="3"/>
    </row>
    <row r="60" spans="2:10" x14ac:dyDescent="0.2">
      <c r="B60" s="53"/>
      <c r="C60" s="53"/>
      <c r="D60" s="53"/>
      <c r="E60" s="54"/>
      <c r="F60" s="6"/>
      <c r="J60" s="3"/>
    </row>
    <row r="61" spans="2:10" x14ac:dyDescent="0.2">
      <c r="B61" s="53"/>
      <c r="C61" s="53"/>
      <c r="D61" s="53"/>
      <c r="E61" s="40"/>
      <c r="F61" s="37"/>
      <c r="J61" s="3"/>
    </row>
    <row r="62" spans="2:10" x14ac:dyDescent="0.2">
      <c r="B62" s="53"/>
      <c r="C62" s="53"/>
      <c r="D62" s="53"/>
      <c r="E62" s="40"/>
      <c r="F62" s="37"/>
      <c r="J62" s="3"/>
    </row>
    <row r="63" spans="2:10" x14ac:dyDescent="0.2">
      <c r="B63" s="53"/>
      <c r="C63" s="53"/>
      <c r="D63" s="53"/>
      <c r="E63" s="40"/>
      <c r="F63" s="37"/>
      <c r="J63" s="3"/>
    </row>
    <row r="64" spans="2:10" x14ac:dyDescent="0.2">
      <c r="B64" s="55"/>
      <c r="C64" s="55"/>
      <c r="D64" s="56"/>
      <c r="E64" s="57"/>
      <c r="F64" s="38"/>
      <c r="J64" s="3"/>
    </row>
    <row r="65" spans="2:10" x14ac:dyDescent="0.2">
      <c r="B65" s="55"/>
      <c r="C65" s="55"/>
      <c r="D65" s="56"/>
      <c r="E65" s="54"/>
      <c r="F65" s="39"/>
      <c r="J65" s="3"/>
    </row>
    <row r="66" spans="2:10" x14ac:dyDescent="0.2">
      <c r="B66" s="55"/>
      <c r="C66" s="55"/>
      <c r="D66" s="55"/>
      <c r="E66" s="58"/>
      <c r="J66" s="3"/>
    </row>
    <row r="67" spans="2:10" x14ac:dyDescent="0.2">
      <c r="B67" s="51"/>
      <c r="C67" s="52"/>
      <c r="D67" s="53"/>
      <c r="E67" s="54"/>
      <c r="F67" s="6"/>
      <c r="J67" s="3"/>
    </row>
    <row r="68" spans="2:10" x14ac:dyDescent="0.2">
      <c r="B68" s="53"/>
      <c r="C68" s="53"/>
      <c r="D68" s="53"/>
      <c r="E68" s="54"/>
      <c r="F68" s="6"/>
      <c r="J68" s="3"/>
    </row>
    <row r="69" spans="2:10" x14ac:dyDescent="0.2">
      <c r="B69" s="53"/>
      <c r="C69" s="53"/>
      <c r="D69" s="53"/>
      <c r="E69" s="40"/>
      <c r="F69" s="37"/>
      <c r="J69" s="3"/>
    </row>
    <row r="70" spans="2:10" x14ac:dyDescent="0.2">
      <c r="B70" s="53"/>
      <c r="C70" s="53"/>
      <c r="D70" s="53"/>
      <c r="E70" s="40"/>
      <c r="F70" s="37"/>
      <c r="J70" s="3"/>
    </row>
    <row r="71" spans="2:10" x14ac:dyDescent="0.2">
      <c r="B71" s="53"/>
      <c r="C71" s="53"/>
      <c r="D71" s="53"/>
      <c r="E71" s="40"/>
      <c r="F71" s="37"/>
      <c r="J71" s="3"/>
    </row>
    <row r="72" spans="2:10" x14ac:dyDescent="0.2">
      <c r="B72" s="55"/>
      <c r="C72" s="55"/>
      <c r="D72" s="56"/>
      <c r="E72" s="57"/>
      <c r="F72" s="38"/>
      <c r="J72" s="3"/>
    </row>
    <row r="73" spans="2:10" x14ac:dyDescent="0.2">
      <c r="B73" s="55"/>
      <c r="C73" s="55"/>
      <c r="D73" s="56"/>
      <c r="E73" s="54"/>
      <c r="F73" s="39"/>
      <c r="J73" s="3"/>
    </row>
    <row r="74" spans="2:10" x14ac:dyDescent="0.2">
      <c r="B74" s="55"/>
      <c r="C74" s="55"/>
      <c r="D74" s="55"/>
      <c r="E74" s="58"/>
      <c r="J74" s="3"/>
    </row>
    <row r="75" spans="2:10" x14ac:dyDescent="0.2">
      <c r="B75" s="51"/>
      <c r="C75" s="52"/>
      <c r="D75" s="53"/>
      <c r="E75" s="54"/>
      <c r="F75" s="6"/>
      <c r="J75" s="3"/>
    </row>
    <row r="76" spans="2:10" x14ac:dyDescent="0.2">
      <c r="B76" s="53"/>
      <c r="C76" s="53"/>
      <c r="D76" s="53"/>
      <c r="E76" s="54"/>
      <c r="F76" s="6"/>
      <c r="J76" s="3"/>
    </row>
    <row r="77" spans="2:10" x14ac:dyDescent="0.2">
      <c r="B77" s="53"/>
      <c r="C77" s="53"/>
      <c r="D77" s="53"/>
      <c r="E77" s="40"/>
      <c r="F77" s="37"/>
      <c r="J77" s="3"/>
    </row>
    <row r="78" spans="2:10" x14ac:dyDescent="0.2">
      <c r="B78" s="53"/>
      <c r="C78" s="53"/>
      <c r="D78" s="53"/>
      <c r="E78" s="40"/>
      <c r="F78" s="37"/>
      <c r="J78" s="3"/>
    </row>
    <row r="79" spans="2:10" x14ac:dyDescent="0.2">
      <c r="B79" s="53"/>
      <c r="C79" s="53"/>
      <c r="D79" s="53"/>
      <c r="E79" s="40"/>
      <c r="F79" s="37"/>
      <c r="J79" s="3"/>
    </row>
    <row r="80" spans="2:10" x14ac:dyDescent="0.2">
      <c r="B80" s="55"/>
      <c r="C80" s="55"/>
      <c r="D80" s="56"/>
      <c r="E80" s="57"/>
      <c r="F80" s="38"/>
      <c r="J80" s="3"/>
    </row>
    <row r="81" spans="2:10" x14ac:dyDescent="0.2">
      <c r="B81" s="55"/>
      <c r="C81" s="55"/>
      <c r="D81" s="56"/>
      <c r="E81" s="54"/>
      <c r="F81" s="39"/>
      <c r="J81" s="3"/>
    </row>
    <row r="82" spans="2:10" x14ac:dyDescent="0.2">
      <c r="B82" s="55"/>
      <c r="C82" s="55"/>
      <c r="D82" s="55"/>
      <c r="E82" s="58"/>
      <c r="J82" s="3"/>
    </row>
    <row r="83" spans="2:10" x14ac:dyDescent="0.2">
      <c r="B83" s="51"/>
      <c r="C83" s="52"/>
      <c r="D83" s="53"/>
      <c r="E83" s="54"/>
      <c r="F83" s="6"/>
      <c r="J83" s="3"/>
    </row>
    <row r="84" spans="2:10" x14ac:dyDescent="0.2">
      <c r="B84" s="53"/>
      <c r="C84" s="53"/>
      <c r="D84" s="53"/>
      <c r="E84" s="54"/>
      <c r="F84" s="6"/>
      <c r="J84" s="3"/>
    </row>
    <row r="85" spans="2:10" x14ac:dyDescent="0.2">
      <c r="B85" s="53"/>
      <c r="C85" s="53"/>
      <c r="D85" s="53"/>
      <c r="E85" s="40"/>
      <c r="F85" s="37"/>
      <c r="J85" s="3"/>
    </row>
    <row r="86" spans="2:10" x14ac:dyDescent="0.2">
      <c r="B86" s="53"/>
      <c r="C86" s="53"/>
      <c r="D86" s="53"/>
      <c r="E86" s="40"/>
      <c r="F86" s="37"/>
      <c r="J86" s="3"/>
    </row>
    <row r="87" spans="2:10" x14ac:dyDescent="0.2">
      <c r="B87" s="53"/>
      <c r="C87" s="53"/>
      <c r="D87" s="53"/>
      <c r="E87" s="40"/>
      <c r="F87" s="37"/>
      <c r="J87" s="3"/>
    </row>
    <row r="88" spans="2:10" x14ac:dyDescent="0.2">
      <c r="B88" s="55"/>
      <c r="C88" s="55"/>
      <c r="D88" s="56"/>
      <c r="E88" s="57"/>
      <c r="F88" s="38"/>
      <c r="J88" s="3"/>
    </row>
    <row r="89" spans="2:10" x14ac:dyDescent="0.2">
      <c r="B89" s="55"/>
      <c r="C89" s="55"/>
      <c r="D89" s="56"/>
      <c r="E89" s="54"/>
      <c r="F89" s="39"/>
      <c r="J89" s="3"/>
    </row>
    <row r="90" spans="2:10" x14ac:dyDescent="0.2">
      <c r="B90" s="55"/>
      <c r="C90" s="55"/>
      <c r="D90" s="55"/>
      <c r="E90" s="58"/>
      <c r="J90" s="3"/>
    </row>
    <row r="91" spans="2:10" x14ac:dyDescent="0.2">
      <c r="B91" s="51"/>
      <c r="C91" s="52"/>
      <c r="D91" s="53"/>
      <c r="E91" s="54"/>
      <c r="F91" s="6"/>
      <c r="J91" s="3"/>
    </row>
    <row r="92" spans="2:10" x14ac:dyDescent="0.2">
      <c r="B92" s="53"/>
      <c r="C92" s="53"/>
      <c r="D92" s="53"/>
      <c r="E92" s="54"/>
      <c r="F92" s="6"/>
      <c r="J92" s="3"/>
    </row>
    <row r="93" spans="2:10" x14ac:dyDescent="0.2">
      <c r="B93" s="53"/>
      <c r="C93" s="53"/>
      <c r="D93" s="53"/>
      <c r="E93" s="40"/>
      <c r="F93" s="37"/>
      <c r="J93" s="3"/>
    </row>
    <row r="94" spans="2:10" x14ac:dyDescent="0.2">
      <c r="B94" s="53"/>
      <c r="C94" s="53"/>
      <c r="D94" s="53"/>
      <c r="E94" s="40"/>
      <c r="F94" s="37"/>
      <c r="J94" s="3"/>
    </row>
    <row r="95" spans="2:10" x14ac:dyDescent="0.2">
      <c r="B95" s="53"/>
      <c r="C95" s="53"/>
      <c r="D95" s="53"/>
      <c r="E95" s="40"/>
      <c r="F95" s="37"/>
      <c r="J95" s="3"/>
    </row>
    <row r="96" spans="2:10" x14ac:dyDescent="0.2">
      <c r="B96" s="55"/>
      <c r="C96" s="55"/>
      <c r="D96" s="56"/>
      <c r="E96" s="57"/>
      <c r="F96" s="38"/>
      <c r="J96" s="3"/>
    </row>
    <row r="97" spans="2:10" x14ac:dyDescent="0.2">
      <c r="B97" s="55"/>
      <c r="C97" s="55"/>
      <c r="D97" s="56"/>
      <c r="E97" s="54"/>
      <c r="F97" s="39"/>
      <c r="J97" s="3"/>
    </row>
    <row r="98" spans="2:10" x14ac:dyDescent="0.2">
      <c r="B98" s="55"/>
      <c r="C98" s="55"/>
      <c r="D98" s="55"/>
      <c r="E98" s="58"/>
      <c r="J98" s="3"/>
    </row>
    <row r="99" spans="2:10" x14ac:dyDescent="0.2">
      <c r="J99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55"/>
  <sheetViews>
    <sheetView zoomScale="90" zoomScaleNormal="90" workbookViewId="0">
      <pane ySplit="1" topLeftCell="A2" activePane="bottomLeft" state="frozen"/>
      <selection pane="bottomLeft" activeCell="F27" sqref="F27"/>
    </sheetView>
  </sheetViews>
  <sheetFormatPr baseColWidth="10" defaultColWidth="8.83203125" defaultRowHeight="15" x14ac:dyDescent="0.2"/>
  <cols>
    <col min="3" max="3" width="15.1640625" customWidth="1"/>
    <col min="4" max="4" width="13.5" bestFit="1" customWidth="1"/>
    <col min="7" max="7" width="15.33203125" bestFit="1" customWidth="1"/>
    <col min="8" max="8" width="13.5" bestFit="1" customWidth="1"/>
    <col min="9" max="10" width="16.5" customWidth="1"/>
    <col min="11" max="11" width="20.5" bestFit="1" customWidth="1"/>
  </cols>
  <sheetData>
    <row r="1" spans="2:12" x14ac:dyDescent="0.2">
      <c r="B1" s="46" t="s">
        <v>66</v>
      </c>
      <c r="C1" s="47"/>
      <c r="D1" s="47"/>
      <c r="E1" s="47"/>
      <c r="H1" s="46" t="s">
        <v>59</v>
      </c>
      <c r="I1" s="47"/>
      <c r="J1" s="47"/>
      <c r="K1" s="47"/>
    </row>
    <row r="3" spans="2:12" x14ac:dyDescent="0.2">
      <c r="B3" s="1" t="str">
        <f>Moisture!B3</f>
        <v>Secco 1</v>
      </c>
      <c r="H3" s="1" t="str">
        <f>Moisture!B3</f>
        <v>Secco 1</v>
      </c>
    </row>
    <row r="4" spans="2:12" x14ac:dyDescent="0.2">
      <c r="B4" s="6" t="s">
        <v>0</v>
      </c>
      <c r="C4" s="6" t="s">
        <v>3</v>
      </c>
      <c r="D4" s="6" t="s">
        <v>2</v>
      </c>
      <c r="E4" s="6" t="s">
        <v>4</v>
      </c>
      <c r="H4" s="6" t="s">
        <v>0</v>
      </c>
      <c r="I4" s="6" t="s">
        <v>3</v>
      </c>
      <c r="J4" s="6" t="s">
        <v>2</v>
      </c>
      <c r="K4" s="6" t="s">
        <v>4</v>
      </c>
    </row>
    <row r="5" spans="2:12" x14ac:dyDescent="0.2">
      <c r="B5" s="28">
        <v>24.478999999999999</v>
      </c>
      <c r="C5" s="28">
        <f>B5+0.52</f>
        <v>24.998999999999999</v>
      </c>
      <c r="D5" s="28">
        <v>24.541</v>
      </c>
      <c r="E5" s="7">
        <f>1-(C5-D5)/(C5-B5)</f>
        <v>0.11923076923077158</v>
      </c>
      <c r="F5" s="31"/>
      <c r="H5" s="28">
        <f>B5</f>
        <v>24.478999999999999</v>
      </c>
      <c r="I5" s="28">
        <f>C5*(1+Moisture!$J$8/100)</f>
        <v>25.005426349024528</v>
      </c>
      <c r="J5" s="28">
        <f t="shared" ref="J5:J7" si="0">D5</f>
        <v>24.541</v>
      </c>
      <c r="K5" s="7">
        <f>1-(I5-J5)/(I5-H5)</f>
        <v>0.11777525975834513</v>
      </c>
      <c r="L5" s="31"/>
    </row>
    <row r="6" spans="2:12" x14ac:dyDescent="0.2">
      <c r="B6" s="28">
        <v>24.545000000000002</v>
      </c>
      <c r="C6" s="28">
        <f>B6+0.827</f>
        <v>25.372</v>
      </c>
      <c r="D6" s="28">
        <v>24.638000000000002</v>
      </c>
      <c r="E6" s="7">
        <f t="shared" ref="E6:E7" si="1">1-(C6-D6)/(C6-B6)</f>
        <v>0.11245465538089505</v>
      </c>
      <c r="F6" s="31"/>
      <c r="H6" s="28">
        <f t="shared" ref="H6:H7" si="2">B6</f>
        <v>24.545000000000002</v>
      </c>
      <c r="I6" s="28">
        <f>C6*(1+Moisture!$J$8/100)</f>
        <v>25.378522233987372</v>
      </c>
      <c r="J6" s="28">
        <f t="shared" si="0"/>
        <v>24.638000000000002</v>
      </c>
      <c r="K6" s="7">
        <f t="shared" ref="K6:K7" si="3">1-(I6-J6)/(I6-H6)</f>
        <v>0.11157470815758608</v>
      </c>
      <c r="L6" s="31"/>
    </row>
    <row r="7" spans="2:12" x14ac:dyDescent="0.2">
      <c r="B7" s="28">
        <v>24.129000000000001</v>
      </c>
      <c r="C7" s="28">
        <f>B7+0.932</f>
        <v>25.061</v>
      </c>
      <c r="D7" s="28">
        <v>24.238</v>
      </c>
      <c r="E7" s="7">
        <f t="shared" si="1"/>
        <v>0.11695278969956902</v>
      </c>
      <c r="F7" s="31"/>
      <c r="H7" s="28">
        <f t="shared" si="2"/>
        <v>24.129000000000001</v>
      </c>
      <c r="I7" s="28">
        <f>C7*(1+Moisture!$J$8/100)</f>
        <v>25.06744228700763</v>
      </c>
      <c r="J7" s="28">
        <f t="shared" si="0"/>
        <v>24.238</v>
      </c>
      <c r="K7" s="7">
        <f t="shared" si="3"/>
        <v>0.11614992366505772</v>
      </c>
      <c r="L7" s="31"/>
    </row>
    <row r="8" spans="2:12" x14ac:dyDescent="0.2">
      <c r="B8" s="6"/>
      <c r="C8" s="6"/>
      <c r="D8" s="6"/>
      <c r="E8" s="8">
        <f>AVERAGE(E5:E7)</f>
        <v>0.11621273810374522</v>
      </c>
      <c r="F8" t="s">
        <v>31</v>
      </c>
      <c r="H8" s="6"/>
      <c r="I8" s="6"/>
      <c r="J8" s="6"/>
      <c r="K8" s="8">
        <f>AVERAGE(K5:K7)</f>
        <v>0.11516663052699631</v>
      </c>
      <c r="L8" t="s">
        <v>31</v>
      </c>
    </row>
    <row r="9" spans="2:12" x14ac:dyDescent="0.2">
      <c r="B9" s="6"/>
      <c r="C9" s="6"/>
      <c r="D9" s="35" t="s">
        <v>11</v>
      </c>
      <c r="E9" s="8">
        <f>E8/(1-Moisture!J8)</f>
        <v>0.11927897402671418</v>
      </c>
      <c r="F9" t="s">
        <v>6</v>
      </c>
      <c r="H9" s="6"/>
      <c r="I9" s="6"/>
      <c r="J9" s="35" t="s">
        <v>11</v>
      </c>
      <c r="K9" s="8">
        <f>K8/(1-Moisture!J8)</f>
        <v>0.11820526523616155</v>
      </c>
      <c r="L9" t="s">
        <v>6</v>
      </c>
    </row>
    <row r="10" spans="2:12" x14ac:dyDescent="0.2">
      <c r="D10" s="35" t="s">
        <v>46</v>
      </c>
      <c r="E10" s="36">
        <f>_xlfn.STDEV.P(E5:E7)/(1-Moisture!J8)</f>
        <v>2.8896799359666124E-3</v>
      </c>
      <c r="F10" s="34"/>
      <c r="J10" s="35" t="s">
        <v>46</v>
      </c>
      <c r="K10" s="36">
        <f>_xlfn.STDEV.P(K5:K7)/(1-Moisture!J8)</f>
        <v>2.6943798970578388E-3</v>
      </c>
      <c r="L10" s="34"/>
    </row>
    <row r="11" spans="2:12" x14ac:dyDescent="0.2">
      <c r="B11" s="1" t="str">
        <f>Moisture!B11</f>
        <v>Secco 2</v>
      </c>
      <c r="C11" s="6"/>
      <c r="D11" s="6"/>
      <c r="E11" s="6"/>
      <c r="H11" s="1" t="str">
        <f>Moisture!B11</f>
        <v>Secco 2</v>
      </c>
      <c r="I11" s="6"/>
      <c r="J11" s="6"/>
      <c r="K11" s="6"/>
    </row>
    <row r="12" spans="2:12" x14ac:dyDescent="0.2">
      <c r="B12" s="6" t="s">
        <v>0</v>
      </c>
      <c r="C12" s="6" t="s">
        <v>3</v>
      </c>
      <c r="D12" s="6" t="s">
        <v>2</v>
      </c>
      <c r="E12" s="6" t="s">
        <v>4</v>
      </c>
      <c r="H12" s="6" t="s">
        <v>0</v>
      </c>
      <c r="I12" s="6" t="s">
        <v>3</v>
      </c>
      <c r="J12" s="6" t="s">
        <v>2</v>
      </c>
      <c r="K12" s="6" t="s">
        <v>4</v>
      </c>
    </row>
    <row r="13" spans="2:12" x14ac:dyDescent="0.2">
      <c r="B13" s="28">
        <v>24.268999999999998</v>
      </c>
      <c r="C13" s="28">
        <f>B13+0.667</f>
        <v>24.936</v>
      </c>
      <c r="D13" s="28">
        <v>24.364999999999998</v>
      </c>
      <c r="E13" s="7">
        <f>1-(C13-D13)/(C13-B13)</f>
        <v>0.14392803598200876</v>
      </c>
      <c r="H13" s="28">
        <f>B13</f>
        <v>24.268999999999998</v>
      </c>
      <c r="I13" s="28">
        <f>C13*(1+Moisture!$J$16/100)</f>
        <v>24.943561557963069</v>
      </c>
      <c r="J13" s="28">
        <f t="shared" ref="J13:J15" si="4">D13</f>
        <v>24.364999999999998</v>
      </c>
      <c r="K13" s="7">
        <f>1-(I13-J13)/(I13-H13)</f>
        <v>0.14231466182254005</v>
      </c>
    </row>
    <row r="14" spans="2:12" x14ac:dyDescent="0.2">
      <c r="B14" s="28">
        <v>24.728000000000002</v>
      </c>
      <c r="C14" s="28">
        <f>B14+0.706</f>
        <v>25.434000000000001</v>
      </c>
      <c r="D14" s="28">
        <v>24.832000000000001</v>
      </c>
      <c r="E14" s="7">
        <f t="shared" ref="E14:E15" si="5">1-(C14-D14)/(C14-B14)</f>
        <v>0.14730878186968732</v>
      </c>
      <c r="H14" s="28">
        <f t="shared" ref="H14:H15" si="6">B14</f>
        <v>24.728000000000002</v>
      </c>
      <c r="I14" s="28">
        <f>C14*(1+Moisture!$J$16/100)</f>
        <v>25.441712570790532</v>
      </c>
      <c r="J14" s="28">
        <f t="shared" si="4"/>
        <v>24.832000000000001</v>
      </c>
      <c r="K14" s="7">
        <f t="shared" ref="K14:K15" si="7">1-(I14-J14)/(I14-H14)</f>
        <v>0.14571692338948927</v>
      </c>
    </row>
    <row r="15" spans="2:12" x14ac:dyDescent="0.2">
      <c r="B15" s="28">
        <v>24.016999999999999</v>
      </c>
      <c r="C15" s="28">
        <f>B15+0.906</f>
        <v>24.922999999999998</v>
      </c>
      <c r="D15" s="28">
        <v>24.141999999999999</v>
      </c>
      <c r="E15" s="7">
        <f t="shared" si="5"/>
        <v>0.13796909492273746</v>
      </c>
      <c r="H15" s="28">
        <f t="shared" si="6"/>
        <v>24.016999999999999</v>
      </c>
      <c r="I15" s="28">
        <f>C15*(1+Moisture!$J$16/100)</f>
        <v>24.930557615861144</v>
      </c>
      <c r="J15" s="28">
        <f t="shared" si="4"/>
        <v>24.141999999999999</v>
      </c>
      <c r="K15" s="7">
        <f t="shared" si="7"/>
        <v>0.13682771379687053</v>
      </c>
    </row>
    <row r="16" spans="2:12" x14ac:dyDescent="0.2">
      <c r="E16" s="8">
        <f>AVERAGE(E13:E15)</f>
        <v>0.14306863759147784</v>
      </c>
      <c r="F16" t="s">
        <v>31</v>
      </c>
      <c r="K16" s="8">
        <f>AVERAGE(K13:K15)</f>
        <v>0.14161976633629994</v>
      </c>
      <c r="L16" t="s">
        <v>31</v>
      </c>
    </row>
    <row r="17" spans="2:12" x14ac:dyDescent="0.2">
      <c r="D17" s="35" t="s">
        <v>11</v>
      </c>
      <c r="E17" s="8">
        <f>E16/(1-Moisture!J16)</f>
        <v>0.14754270196811847</v>
      </c>
      <c r="F17" t="s">
        <v>6</v>
      </c>
      <c r="J17" s="35" t="s">
        <v>11</v>
      </c>
      <c r="K17" s="8">
        <f>K16/(1-Moisture!J16)</f>
        <v>0.14604852138884092</v>
      </c>
      <c r="L17" t="s">
        <v>6</v>
      </c>
    </row>
    <row r="18" spans="2:12" x14ac:dyDescent="0.2">
      <c r="D18" s="35" t="s">
        <v>46</v>
      </c>
      <c r="E18" s="36">
        <f>_xlfn.STDEV.P(E13:E15)/(1-Moisture!J16)</f>
        <v>3.981775684480441E-3</v>
      </c>
      <c r="J18" s="35" t="s">
        <v>46</v>
      </c>
      <c r="K18" s="36">
        <f>_xlfn.STDEV.P(K13:K15)/(1-Moisture!J16)</f>
        <v>3.7766411820609682E-3</v>
      </c>
    </row>
    <row r="19" spans="2:12" x14ac:dyDescent="0.2">
      <c r="B19" s="1" t="str">
        <f>Moisture!B19</f>
        <v>Umido 1</v>
      </c>
      <c r="C19" s="6"/>
      <c r="D19" s="6"/>
      <c r="E19" s="6"/>
      <c r="H19" s="1" t="str">
        <f>Moisture!B19</f>
        <v>Umido 1</v>
      </c>
      <c r="I19" s="6"/>
      <c r="J19" s="6"/>
      <c r="K19" s="6"/>
    </row>
    <row r="20" spans="2:12" x14ac:dyDescent="0.2">
      <c r="B20" s="6" t="s">
        <v>0</v>
      </c>
      <c r="C20" s="6" t="s">
        <v>3</v>
      </c>
      <c r="D20" s="6" t="s">
        <v>2</v>
      </c>
      <c r="E20" s="6" t="s">
        <v>4</v>
      </c>
      <c r="H20" s="6" t="s">
        <v>0</v>
      </c>
      <c r="I20" s="6" t="s">
        <v>3</v>
      </c>
      <c r="J20" s="6" t="s">
        <v>2</v>
      </c>
      <c r="K20" s="6" t="s">
        <v>4</v>
      </c>
    </row>
    <row r="21" spans="2:12" x14ac:dyDescent="0.2">
      <c r="B21" s="28">
        <v>23.498999999999999</v>
      </c>
      <c r="C21" s="28">
        <f>B21+0.513</f>
        <v>24.012</v>
      </c>
      <c r="D21" s="28">
        <v>23.521999999999998</v>
      </c>
      <c r="E21" s="7">
        <f>1-(C21-D21)/(C21-B21)</f>
        <v>4.4834307992202005E-2</v>
      </c>
      <c r="H21" s="28">
        <v>24.5671</v>
      </c>
      <c r="I21" s="28">
        <f>H21+0.6316</f>
        <v>25.198699999999999</v>
      </c>
      <c r="J21" s="28">
        <v>24.618400000000001</v>
      </c>
      <c r="K21" s="7">
        <f>1-(I21-J21)/(I21-H21)</f>
        <v>8.1222292590249046E-2</v>
      </c>
    </row>
    <row r="22" spans="2:12" x14ac:dyDescent="0.2">
      <c r="B22" s="28">
        <v>25.135000000000002</v>
      </c>
      <c r="C22" s="28">
        <f>B22+0.535</f>
        <v>25.67</v>
      </c>
      <c r="D22" s="28">
        <v>25.167999999999999</v>
      </c>
      <c r="E22" s="7">
        <f t="shared" ref="E22:E23" si="8">1-(C22-D22)/(C22-B22)</f>
        <v>6.1682242990649838E-2</v>
      </c>
      <c r="H22" s="28">
        <v>25.387599999999999</v>
      </c>
      <c r="I22" s="28">
        <f>H22+0.9626</f>
        <v>26.350199999999997</v>
      </c>
      <c r="J22" s="28">
        <v>25.448499999999999</v>
      </c>
      <c r="K22" s="7">
        <f t="shared" ref="K22:K23" si="9">1-(I22-J22)/(I22-H22)</f>
        <v>6.326615416580128E-2</v>
      </c>
    </row>
    <row r="23" spans="2:12" x14ac:dyDescent="0.2">
      <c r="B23" s="49">
        <v>24.928000000000001</v>
      </c>
      <c r="C23" s="49">
        <v>25.4</v>
      </c>
      <c r="D23" s="49">
        <v>24.95</v>
      </c>
      <c r="E23" s="7">
        <f t="shared" si="8"/>
        <v>4.6610169491522413E-2</v>
      </c>
      <c r="H23" s="28">
        <v>24.543299999999999</v>
      </c>
      <c r="I23" s="28">
        <f>H23+1.0733</f>
        <v>25.616599999999998</v>
      </c>
      <c r="J23" s="28">
        <v>24.6006</v>
      </c>
      <c r="K23" s="7">
        <f t="shared" si="9"/>
        <v>5.3386751141341171E-2</v>
      </c>
    </row>
    <row r="24" spans="2:12" x14ac:dyDescent="0.2">
      <c r="E24" s="8">
        <f>AVERAGE(E21:E22)</f>
        <v>5.3258275491425922E-2</v>
      </c>
      <c r="F24" t="s">
        <v>31</v>
      </c>
      <c r="K24" s="8">
        <f>AVERAGE(K21:K23)</f>
        <v>6.5958399299130499E-2</v>
      </c>
      <c r="L24" t="s">
        <v>31</v>
      </c>
    </row>
    <row r="25" spans="2:12" x14ac:dyDescent="0.2">
      <c r="D25" s="35" t="s">
        <v>11</v>
      </c>
      <c r="E25" s="8">
        <f>E24/(1-Moisture!J24)</f>
        <v>5.526145253819132E-2</v>
      </c>
      <c r="F25" t="s">
        <v>6</v>
      </c>
      <c r="J25" s="35" t="s">
        <v>11</v>
      </c>
      <c r="K25" s="8">
        <f>K24/(1-Moisture!J24)</f>
        <v>6.8439259790730081E-2</v>
      </c>
      <c r="L25" t="s">
        <v>6</v>
      </c>
    </row>
    <row r="26" spans="2:12" x14ac:dyDescent="0.2">
      <c r="D26" s="35" t="s">
        <v>46</v>
      </c>
      <c r="E26" s="36">
        <f>_xlfn.STDEV.P(E21:E22)/(1-Moisture!J24)</f>
        <v>8.7408140020713652E-3</v>
      </c>
      <c r="J26" s="35" t="s">
        <v>46</v>
      </c>
      <c r="K26" s="36">
        <f>_xlfn.STDEV.P(K21:K23)/(1-Moisture!J24)</f>
        <v>1.1955543978576929E-2</v>
      </c>
    </row>
    <row r="27" spans="2:12" x14ac:dyDescent="0.2">
      <c r="B27" s="1" t="str">
        <f>Moisture!B27</f>
        <v>Umido 2</v>
      </c>
      <c r="H27" s="1" t="str">
        <f>Moisture!B27</f>
        <v>Umido 2</v>
      </c>
    </row>
    <row r="28" spans="2:12" x14ac:dyDescent="0.2">
      <c r="B28" s="6" t="s">
        <v>0</v>
      </c>
      <c r="C28" s="6" t="s">
        <v>3</v>
      </c>
      <c r="D28" s="6" t="s">
        <v>2</v>
      </c>
      <c r="E28" s="6" t="s">
        <v>4</v>
      </c>
      <c r="H28" s="6" t="s">
        <v>0</v>
      </c>
      <c r="I28" s="6" t="s">
        <v>3</v>
      </c>
      <c r="J28" s="6" t="s">
        <v>2</v>
      </c>
      <c r="K28" s="6" t="s">
        <v>4</v>
      </c>
    </row>
    <row r="29" spans="2:12" x14ac:dyDescent="0.2">
      <c r="B29" s="28">
        <v>26.140999999999998</v>
      </c>
      <c r="C29" s="28">
        <f>B29+0.523</f>
        <v>26.663999999999998</v>
      </c>
      <c r="D29" s="28">
        <v>26.22</v>
      </c>
      <c r="E29" s="7">
        <f>1-(C29-D29)/(C29-B29)</f>
        <v>0.15105162523900706</v>
      </c>
      <c r="H29" s="28">
        <f>B29</f>
        <v>26.140999999999998</v>
      </c>
      <c r="I29" s="28">
        <f>C29*(1+Moisture!$J$32/100)</f>
        <v>26.668068181354883</v>
      </c>
      <c r="J29" s="28">
        <f t="shared" ref="J29:J31" si="10">D29</f>
        <v>26.22</v>
      </c>
      <c r="K29" s="7">
        <f>1-(I29-J29)/(I29-H29)</f>
        <v>0.14988573166553654</v>
      </c>
    </row>
    <row r="30" spans="2:12" x14ac:dyDescent="0.2">
      <c r="B30" s="28">
        <v>24.574999999999999</v>
      </c>
      <c r="C30" s="28">
        <f>B30+0.529</f>
        <v>25.103999999999999</v>
      </c>
      <c r="D30" s="28">
        <v>24.654</v>
      </c>
      <c r="E30" s="7">
        <f t="shared" ref="E30:E31" si="11">1-(C30-D30)/(C30-B30)</f>
        <v>0.14933837429111652</v>
      </c>
      <c r="H30" s="28">
        <f t="shared" ref="H30:H31" si="12">B30</f>
        <v>24.574999999999999</v>
      </c>
      <c r="I30" s="28">
        <f>C30*(1+Moisture!$J$32/100)</f>
        <v>25.107830168944382</v>
      </c>
      <c r="J30" s="28">
        <f t="shared" si="10"/>
        <v>24.654</v>
      </c>
      <c r="K30" s="7">
        <f t="shared" ref="K30:K31" si="13">1-(I30-J30)/(I30-H30)</f>
        <v>0.14826487801265387</v>
      </c>
    </row>
    <row r="31" spans="2:12" x14ac:dyDescent="0.2">
      <c r="B31" s="28">
        <v>25.388999999999999</v>
      </c>
      <c r="C31" s="28">
        <f>B31+0.324</f>
        <v>25.713000000000001</v>
      </c>
      <c r="D31" s="28">
        <v>25.443999999999999</v>
      </c>
      <c r="E31" s="7">
        <f t="shared" si="11"/>
        <v>0.1697530864197514</v>
      </c>
      <c r="H31" s="28">
        <f t="shared" si="12"/>
        <v>25.388999999999999</v>
      </c>
      <c r="I31" s="28">
        <f>C31*(1+Moisture!$J$32/100)</f>
        <v>25.716923085327714</v>
      </c>
      <c r="J31" s="28">
        <f t="shared" si="10"/>
        <v>25.443999999999999</v>
      </c>
      <c r="K31" s="7">
        <f t="shared" si="13"/>
        <v>0.16772225701961374</v>
      </c>
    </row>
    <row r="32" spans="2:12" x14ac:dyDescent="0.2">
      <c r="B32" s="6"/>
      <c r="C32" s="6"/>
      <c r="D32" s="6"/>
      <c r="E32" s="8">
        <f>AVERAGE(E29:E31)</f>
        <v>0.15671436198329167</v>
      </c>
      <c r="F32" t="s">
        <v>31</v>
      </c>
      <c r="H32" s="6"/>
      <c r="I32" s="6"/>
      <c r="J32" s="6"/>
      <c r="K32" s="8">
        <f>AVERAGE(K29:K31)</f>
        <v>0.15529095556593472</v>
      </c>
      <c r="L32" t="s">
        <v>31</v>
      </c>
    </row>
    <row r="33" spans="2:12" x14ac:dyDescent="0.2">
      <c r="B33" s="6"/>
      <c r="C33" s="6"/>
      <c r="D33" s="35" t="s">
        <v>11</v>
      </c>
      <c r="E33" s="8">
        <f>E32/(1-Moisture!J32)</f>
        <v>0.15914243080176801</v>
      </c>
      <c r="F33" t="s">
        <v>6</v>
      </c>
      <c r="H33" s="6"/>
      <c r="I33" s="6"/>
      <c r="J33" s="35" t="s">
        <v>11</v>
      </c>
      <c r="K33" s="8">
        <f>K32/(1-Moisture!J32)</f>
        <v>0.15769697070219416</v>
      </c>
      <c r="L33" t="s">
        <v>6</v>
      </c>
    </row>
    <row r="34" spans="2:12" x14ac:dyDescent="0.2">
      <c r="D34" s="35" t="s">
        <v>46</v>
      </c>
      <c r="E34" s="36">
        <f>_xlfn.STDEV.P(E29:E31)/(1-Moisture!J32)</f>
        <v>9.389520456721279E-3</v>
      </c>
      <c r="J34" s="35" t="s">
        <v>46</v>
      </c>
      <c r="K34" s="36">
        <f>_xlfn.STDEV.P(K29:K31)/(1-Moisture!J32)</f>
        <v>8.9517064446085516E-3</v>
      </c>
    </row>
    <row r="35" spans="2:12" x14ac:dyDescent="0.2">
      <c r="B35" s="1" t="str">
        <f>Moisture!B35</f>
        <v>Fanghi 1</v>
      </c>
      <c r="C35" s="6"/>
      <c r="D35" s="6"/>
      <c r="E35" s="6"/>
      <c r="H35" s="1" t="str">
        <f>Moisture!B35</f>
        <v>Fanghi 1</v>
      </c>
      <c r="I35" s="6"/>
      <c r="J35" s="6"/>
      <c r="K35" s="6"/>
    </row>
    <row r="36" spans="2:12" x14ac:dyDescent="0.2">
      <c r="B36" s="6" t="s">
        <v>0</v>
      </c>
      <c r="C36" s="6" t="s">
        <v>3</v>
      </c>
      <c r="D36" s="6" t="s">
        <v>2</v>
      </c>
      <c r="E36" s="6" t="s">
        <v>4</v>
      </c>
      <c r="H36" s="6" t="s">
        <v>0</v>
      </c>
      <c r="I36" s="6" t="s">
        <v>3</v>
      </c>
      <c r="J36" s="6" t="s">
        <v>2</v>
      </c>
      <c r="K36" s="6" t="s">
        <v>4</v>
      </c>
    </row>
    <row r="37" spans="2:12" x14ac:dyDescent="0.2">
      <c r="B37" s="28">
        <v>1</v>
      </c>
      <c r="C37" s="28">
        <v>2</v>
      </c>
      <c r="D37" s="28">
        <v>1</v>
      </c>
      <c r="E37" s="7">
        <f>1-(C37-D37)/(C37-B37)</f>
        <v>0</v>
      </c>
      <c r="H37" s="28">
        <v>24.016500000000001</v>
      </c>
      <c r="I37" s="28">
        <f>H37+1.0098</f>
        <v>25.026299999999999</v>
      </c>
      <c r="J37" s="28">
        <v>24.1111</v>
      </c>
      <c r="K37" s="7">
        <f>1-(I37-J37)/(I37-H37)</f>
        <v>9.3681917211328902E-2</v>
      </c>
    </row>
    <row r="38" spans="2:12" x14ac:dyDescent="0.2">
      <c r="B38" s="28">
        <v>1</v>
      </c>
      <c r="C38" s="28">
        <v>2</v>
      </c>
      <c r="D38" s="28">
        <v>1</v>
      </c>
      <c r="E38" s="7">
        <f t="shared" ref="E38:E39" si="14">1-(C38-D38)/(C38-B38)</f>
        <v>0</v>
      </c>
      <c r="H38" s="28">
        <v>24.4787</v>
      </c>
      <c r="I38" s="28">
        <f>H38+0.6489</f>
        <v>25.127600000000001</v>
      </c>
      <c r="J38" s="28">
        <v>24.541699999999999</v>
      </c>
      <c r="K38" s="7">
        <f t="shared" ref="K38:K39" si="15">1-(I38-J38)/(I38-H38)</f>
        <v>9.7087378640774769E-2</v>
      </c>
    </row>
    <row r="39" spans="2:12" x14ac:dyDescent="0.2">
      <c r="B39" s="28">
        <v>1</v>
      </c>
      <c r="C39" s="28">
        <v>2</v>
      </c>
      <c r="D39" s="28">
        <v>1</v>
      </c>
      <c r="E39" s="7">
        <f t="shared" si="14"/>
        <v>0</v>
      </c>
      <c r="H39" s="28">
        <v>24.728400000000001</v>
      </c>
      <c r="I39" s="28">
        <f>H39+0.9077</f>
        <v>25.636099999999999</v>
      </c>
      <c r="J39" s="28">
        <v>24.8169</v>
      </c>
      <c r="K39" s="7">
        <f t="shared" si="15"/>
        <v>9.7499173735815736E-2</v>
      </c>
    </row>
    <row r="40" spans="2:12" x14ac:dyDescent="0.2">
      <c r="E40" s="8">
        <f>AVERAGE(E37:E39)</f>
        <v>0</v>
      </c>
      <c r="F40" t="s">
        <v>31</v>
      </c>
      <c r="K40" s="8">
        <f>AVERAGE(K37:K39)</f>
        <v>9.6089489862639807E-2</v>
      </c>
      <c r="L40" t="s">
        <v>31</v>
      </c>
    </row>
    <row r="41" spans="2:12" x14ac:dyDescent="0.2">
      <c r="D41" s="35" t="s">
        <v>11</v>
      </c>
      <c r="E41" s="8">
        <f>E40/(1-Moisture!J40)</f>
        <v>0</v>
      </c>
      <c r="F41" t="s">
        <v>6</v>
      </c>
      <c r="J41" s="35" t="s">
        <v>11</v>
      </c>
      <c r="K41" s="8">
        <f>K40/(1-Moisture!J40)</f>
        <v>9.9132779632901943E-2</v>
      </c>
      <c r="L41" t="s">
        <v>6</v>
      </c>
    </row>
    <row r="42" spans="2:12" x14ac:dyDescent="0.2">
      <c r="D42" s="35" t="s">
        <v>46</v>
      </c>
      <c r="E42" s="36">
        <f>_xlfn.STDEV.P(E37:E39)/(1-Moisture!J40)</f>
        <v>0</v>
      </c>
      <c r="J42" s="35" t="s">
        <v>46</v>
      </c>
      <c r="K42" s="36">
        <f>_xlfn.STDEV.P(K37:K39)/(1-Moisture!J40)</f>
        <v>1.7648715628863106E-3</v>
      </c>
    </row>
    <row r="43" spans="2:12" x14ac:dyDescent="0.2">
      <c r="B43" s="1" t="str">
        <f>Moisture!B43</f>
        <v>Fanghi 2</v>
      </c>
      <c r="C43" s="6"/>
      <c r="D43" s="6"/>
      <c r="E43" s="6"/>
      <c r="H43" s="1" t="str">
        <f>Moisture!B43</f>
        <v>Fanghi 2</v>
      </c>
      <c r="I43" s="6"/>
      <c r="J43" s="6"/>
      <c r="K43" s="6"/>
    </row>
    <row r="44" spans="2:12" x14ac:dyDescent="0.2">
      <c r="B44" s="6" t="s">
        <v>0</v>
      </c>
      <c r="C44" s="6" t="s">
        <v>3</v>
      </c>
      <c r="D44" s="6" t="s">
        <v>2</v>
      </c>
      <c r="E44" s="6" t="s">
        <v>4</v>
      </c>
      <c r="H44" s="6" t="s">
        <v>0</v>
      </c>
      <c r="I44" s="6" t="s">
        <v>3</v>
      </c>
      <c r="J44" s="6" t="s">
        <v>2</v>
      </c>
      <c r="K44" s="6" t="s">
        <v>4</v>
      </c>
    </row>
    <row r="45" spans="2:12" x14ac:dyDescent="0.2">
      <c r="B45" s="28">
        <v>1</v>
      </c>
      <c r="C45" s="28">
        <v>2</v>
      </c>
      <c r="D45" s="28">
        <v>1</v>
      </c>
      <c r="E45" s="7">
        <f>1-(C45-D45)/(C45-B45)</f>
        <v>0</v>
      </c>
      <c r="H45" s="28">
        <v>24.266500000000001</v>
      </c>
      <c r="I45" s="28">
        <f>H45+1.0345</f>
        <v>25.301000000000002</v>
      </c>
      <c r="J45" s="28">
        <f>24.3638</f>
        <v>24.363800000000001</v>
      </c>
      <c r="K45" s="7">
        <f>1-(I45-J45)/(I45-H45)</f>
        <v>9.4055099081682414E-2</v>
      </c>
    </row>
    <row r="46" spans="2:12" x14ac:dyDescent="0.2">
      <c r="B46" s="28">
        <v>1</v>
      </c>
      <c r="C46" s="28">
        <v>2</v>
      </c>
      <c r="D46" s="28">
        <v>1</v>
      </c>
      <c r="E46" s="7">
        <f t="shared" ref="E46:E47" si="16">1-(C46-D46)/(C46-B46)</f>
        <v>0</v>
      </c>
      <c r="H46" s="28">
        <v>23.495200000000001</v>
      </c>
      <c r="I46" s="28">
        <f>H46+0.968</f>
        <v>24.463200000000001</v>
      </c>
      <c r="J46" s="28">
        <v>23.585899999999999</v>
      </c>
      <c r="K46" s="7">
        <f t="shared" ref="K46:K47" si="17">1-(I46-J46)/(I46-H46)</f>
        <v>9.3698347107436186E-2</v>
      </c>
    </row>
    <row r="47" spans="2:12" x14ac:dyDescent="0.2">
      <c r="B47" s="28">
        <v>1</v>
      </c>
      <c r="C47" s="28">
        <v>2</v>
      </c>
      <c r="D47" s="28">
        <v>1</v>
      </c>
      <c r="E47" s="7">
        <f t="shared" si="16"/>
        <v>0</v>
      </c>
      <c r="H47" s="28">
        <v>24.128499999999999</v>
      </c>
      <c r="I47" s="28">
        <f>H47+0.9235</f>
        <v>25.052</v>
      </c>
      <c r="J47" s="28">
        <v>24.215199999999999</v>
      </c>
      <c r="K47" s="7">
        <f t="shared" si="17"/>
        <v>9.3881970763400546E-2</v>
      </c>
    </row>
    <row r="48" spans="2:12" x14ac:dyDescent="0.2">
      <c r="E48" s="8">
        <f>AVERAGE(E45:E47)</f>
        <v>0</v>
      </c>
      <c r="F48" t="s">
        <v>31</v>
      </c>
      <c r="K48" s="8">
        <f>AVERAGE(K45:K47)</f>
        <v>9.3878472317506387E-2</v>
      </c>
      <c r="L48" t="s">
        <v>31</v>
      </c>
    </row>
    <row r="49" spans="2:12" x14ac:dyDescent="0.2">
      <c r="D49" s="35" t="s">
        <v>11</v>
      </c>
      <c r="E49" s="8">
        <f>E48/(1-Moisture!J48)</f>
        <v>0</v>
      </c>
      <c r="F49" t="s">
        <v>6</v>
      </c>
      <c r="J49" s="35" t="s">
        <v>11</v>
      </c>
      <c r="K49" s="8">
        <f>K48/(1-Moisture!J48)</f>
        <v>9.6414322553251899E-2</v>
      </c>
      <c r="L49" t="s">
        <v>6</v>
      </c>
    </row>
    <row r="50" spans="2:12" x14ac:dyDescent="0.2">
      <c r="D50" s="35" t="s">
        <v>46</v>
      </c>
      <c r="E50" s="36">
        <f>_xlfn.STDEV.P(E45:E47)/(1-Moisture!J48)</f>
        <v>0</v>
      </c>
      <c r="J50" s="35" t="s">
        <v>46</v>
      </c>
      <c r="K50" s="36">
        <f>_xlfn.STDEV.P(K45:K47)/(1-Moisture!J48)</f>
        <v>1.4959908500153019E-4</v>
      </c>
    </row>
    <row r="51" spans="2:12" x14ac:dyDescent="0.2">
      <c r="B51" s="1"/>
      <c r="C51" s="6"/>
      <c r="D51" s="6"/>
      <c r="E51" s="6"/>
      <c r="H51" s="1"/>
      <c r="I51" s="6"/>
      <c r="J51" s="6"/>
      <c r="K51" s="6"/>
    </row>
    <row r="53" spans="2:12" x14ac:dyDescent="0.2">
      <c r="H53" s="31"/>
      <c r="I53" s="31"/>
      <c r="J53" s="31"/>
    </row>
    <row r="54" spans="2:12" x14ac:dyDescent="0.2">
      <c r="H54" s="31"/>
      <c r="I54" s="31"/>
      <c r="J54" s="31"/>
    </row>
    <row r="55" spans="2:12" x14ac:dyDescent="0.2">
      <c r="H55" s="31"/>
      <c r="I55" s="31"/>
      <c r="J55" s="3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workbookViewId="0">
      <pane ySplit="1" topLeftCell="A2" activePane="bottomLeft" state="frozen"/>
      <selection pane="bottomLeft" activeCell="J29" sqref="J29"/>
    </sheetView>
  </sheetViews>
  <sheetFormatPr baseColWidth="10" defaultColWidth="8.83203125" defaultRowHeight="15" x14ac:dyDescent="0.2"/>
  <cols>
    <col min="3" max="3" width="15.33203125" bestFit="1" customWidth="1"/>
    <col min="4" max="4" width="13.5" bestFit="1" customWidth="1"/>
  </cols>
  <sheetData>
    <row r="1" spans="1:10" x14ac:dyDescent="0.2">
      <c r="B1" s="46" t="s">
        <v>56</v>
      </c>
      <c r="C1" s="48"/>
      <c r="D1" s="47"/>
      <c r="E1" s="47"/>
      <c r="F1" s="47"/>
      <c r="G1" s="47"/>
      <c r="H1" s="47"/>
      <c r="I1" s="47"/>
      <c r="J1" s="47"/>
    </row>
    <row r="3" spans="1:10" x14ac:dyDescent="0.2">
      <c r="B3" s="1" t="str">
        <f>Moisture!B3</f>
        <v>Secco 1</v>
      </c>
    </row>
    <row r="4" spans="1:10" x14ac:dyDescent="0.2">
      <c r="B4" s="6" t="s">
        <v>7</v>
      </c>
      <c r="C4" s="6" t="s">
        <v>8</v>
      </c>
      <c r="D4" s="6" t="s">
        <v>9</v>
      </c>
      <c r="E4" s="6" t="s">
        <v>10</v>
      </c>
      <c r="F4" s="6" t="s">
        <v>12</v>
      </c>
    </row>
    <row r="5" spans="1:10" x14ac:dyDescent="0.2">
      <c r="B5" s="29">
        <v>47.33</v>
      </c>
      <c r="C5" s="29">
        <v>6.6230000000000002</v>
      </c>
      <c r="D5" s="29">
        <v>2.44</v>
      </c>
      <c r="E5" s="29">
        <v>0.71399999999999997</v>
      </c>
    </row>
    <row r="6" spans="1:10" x14ac:dyDescent="0.2">
      <c r="B6" s="29">
        <v>45.81</v>
      </c>
      <c r="C6" s="29">
        <v>6.4089999999999998</v>
      </c>
      <c r="D6" s="29">
        <v>2.62</v>
      </c>
      <c r="E6" s="29">
        <v>0.61399999999999999</v>
      </c>
    </row>
    <row r="7" spans="1:10" x14ac:dyDescent="0.2">
      <c r="B7" s="29">
        <v>47.38</v>
      </c>
      <c r="C7" s="29">
        <v>6.8230000000000004</v>
      </c>
      <c r="D7" s="29">
        <v>2.7</v>
      </c>
      <c r="E7" s="29">
        <v>0.44400000000000001</v>
      </c>
    </row>
    <row r="8" spans="1:10" x14ac:dyDescent="0.2">
      <c r="A8" s="35" t="s">
        <v>11</v>
      </c>
      <c r="B8" s="11">
        <f t="shared" ref="B8" si="0">AVERAGE(B5:B7)</f>
        <v>46.84</v>
      </c>
      <c r="C8" s="11">
        <f t="shared" ref="C8" si="1">AVERAGE(C5:C7)</f>
        <v>6.6183333333333332</v>
      </c>
      <c r="D8" s="11">
        <f t="shared" ref="D8" si="2">AVERAGE(D5:D7)</f>
        <v>2.5866666666666669</v>
      </c>
      <c r="E8" s="11">
        <f>AVERAGE(E5:E7)</f>
        <v>0.59066666666666656</v>
      </c>
      <c r="F8" s="11">
        <f>(1-SUM(B8:E8)/100-Ash!E9)*100</f>
        <v>31.436435930661922</v>
      </c>
    </row>
    <row r="9" spans="1:10" x14ac:dyDescent="0.2">
      <c r="A9" s="35" t="s">
        <v>46</v>
      </c>
      <c r="B9" s="9">
        <f>_xlfn.STDEV.P(B5:B7)</f>
        <v>0.72860597490458823</v>
      </c>
      <c r="C9" s="9">
        <f>_xlfn.STDEV.P(C5:C7)</f>
        <v>0.16904700201094655</v>
      </c>
      <c r="D9" s="9">
        <f>_xlfn.STDEV.P(D5:D7)</f>
        <v>0.10873004286866736</v>
      </c>
      <c r="E9" s="9">
        <f>_xlfn.STDEV.P(E5:E7)</f>
        <v>0.11145502331533687</v>
      </c>
    </row>
    <row r="11" spans="1:10" x14ac:dyDescent="0.2">
      <c r="B11" s="1" t="str">
        <f>Moisture!B11</f>
        <v>Secco 2</v>
      </c>
      <c r="C11" s="6"/>
      <c r="D11" s="6"/>
      <c r="E11" s="6"/>
    </row>
    <row r="12" spans="1:10" x14ac:dyDescent="0.2">
      <c r="B12" s="6" t="s">
        <v>7</v>
      </c>
      <c r="C12" s="6" t="s">
        <v>8</v>
      </c>
      <c r="D12" s="6" t="s">
        <v>9</v>
      </c>
      <c r="E12" s="6" t="s">
        <v>10</v>
      </c>
      <c r="F12" s="6" t="s">
        <v>12</v>
      </c>
    </row>
    <row r="13" spans="1:10" x14ac:dyDescent="0.2">
      <c r="B13" s="29">
        <v>44.23</v>
      </c>
      <c r="C13" s="29">
        <v>6.1669999999999998</v>
      </c>
      <c r="D13" s="29">
        <v>2.68</v>
      </c>
      <c r="E13" s="29">
        <v>0.51400000000000001</v>
      </c>
    </row>
    <row r="14" spans="1:10" x14ac:dyDescent="0.2">
      <c r="B14" s="29">
        <v>42.57</v>
      </c>
      <c r="C14" s="29">
        <v>5.8529999999999998</v>
      </c>
      <c r="D14" s="29">
        <v>2.5</v>
      </c>
      <c r="E14" s="29">
        <v>0.434</v>
      </c>
    </row>
    <row r="15" spans="1:10" x14ac:dyDescent="0.2">
      <c r="B15" s="29">
        <v>42.65</v>
      </c>
      <c r="C15" s="29">
        <v>5.8840000000000003</v>
      </c>
      <c r="D15" s="29">
        <v>2.65</v>
      </c>
      <c r="E15" s="29">
        <v>0.42899999999999999</v>
      </c>
    </row>
    <row r="16" spans="1:10" x14ac:dyDescent="0.2">
      <c r="A16" s="35" t="s">
        <v>11</v>
      </c>
      <c r="B16" s="11">
        <f t="shared" ref="B16" si="3">AVERAGE(B13:B15)</f>
        <v>43.15</v>
      </c>
      <c r="C16" s="11">
        <f t="shared" ref="C16" si="4">AVERAGE(C13:C15)</f>
        <v>5.968</v>
      </c>
      <c r="D16" s="11">
        <f t="shared" ref="D16" si="5">AVERAGE(D13:D15)</f>
        <v>2.61</v>
      </c>
      <c r="E16" s="11">
        <f>AVERAGE(E13:E15)</f>
        <v>0.45900000000000002</v>
      </c>
      <c r="F16" s="11">
        <f>(1-SUM(B16:E16)/100-Ash!E17)*100</f>
        <v>33.058729803188157</v>
      </c>
    </row>
    <row r="17" spans="1:7" x14ac:dyDescent="0.2">
      <c r="A17" s="35" t="s">
        <v>46</v>
      </c>
      <c r="B17" s="9">
        <f>_xlfn.STDEV.P(B13:B15)</f>
        <v>0.76437338170992375</v>
      </c>
      <c r="C17" s="9">
        <f>_xlfn.STDEV.P(C13:C15)</f>
        <v>0.14128222346306218</v>
      </c>
      <c r="D17" s="9">
        <f>_xlfn.STDEV.P(D13:D15)</f>
        <v>7.8740078740118138E-2</v>
      </c>
      <c r="E17" s="9">
        <f>_xlfn.STDEV.P(E13:E15)</f>
        <v>3.8944404818493081E-2</v>
      </c>
    </row>
    <row r="19" spans="1:7" x14ac:dyDescent="0.2">
      <c r="B19" s="1" t="str">
        <f>Moisture!B19</f>
        <v>Umido 1</v>
      </c>
    </row>
    <row r="20" spans="1:7" x14ac:dyDescent="0.2">
      <c r="B20" s="6" t="s">
        <v>7</v>
      </c>
      <c r="C20" s="6" t="s">
        <v>8</v>
      </c>
      <c r="D20" s="6" t="s">
        <v>9</v>
      </c>
      <c r="E20" s="6" t="s">
        <v>10</v>
      </c>
      <c r="F20" s="6" t="s">
        <v>12</v>
      </c>
    </row>
    <row r="21" spans="1:7" x14ac:dyDescent="0.2">
      <c r="B21" s="29">
        <v>49.07</v>
      </c>
      <c r="C21" s="29">
        <v>6.7809999999999997</v>
      </c>
      <c r="D21" s="29">
        <v>1.5</v>
      </c>
      <c r="E21" s="29">
        <v>0.40100000000000002</v>
      </c>
    </row>
    <row r="22" spans="1:7" x14ac:dyDescent="0.2">
      <c r="B22" s="29">
        <v>46.45</v>
      </c>
      <c r="C22" s="29">
        <v>6.351</v>
      </c>
      <c r="D22" s="29">
        <v>2.2799999999999998</v>
      </c>
      <c r="E22" s="29">
        <v>0.68899999999999995</v>
      </c>
    </row>
    <row r="23" spans="1:7" x14ac:dyDescent="0.2">
      <c r="B23" s="29">
        <v>49.27</v>
      </c>
      <c r="C23" s="29">
        <v>6.6740000000000004</v>
      </c>
      <c r="D23" s="29">
        <v>1.89</v>
      </c>
      <c r="E23" s="29">
        <v>0.52700000000000002</v>
      </c>
    </row>
    <row r="24" spans="1:7" x14ac:dyDescent="0.2">
      <c r="A24" s="35" t="s">
        <v>11</v>
      </c>
      <c r="B24" s="11">
        <f t="shared" ref="B24:D24" si="6">AVERAGE(B21:B23)</f>
        <v>48.263333333333343</v>
      </c>
      <c r="C24" s="11">
        <f t="shared" si="6"/>
        <v>6.6020000000000003</v>
      </c>
      <c r="D24" s="11">
        <f t="shared" si="6"/>
        <v>1.89</v>
      </c>
      <c r="E24" s="11">
        <f>AVERAGE(E21:E23)</f>
        <v>0.53900000000000003</v>
      </c>
      <c r="F24" s="11">
        <f>(1-SUM(B24:E24)/100-Ash!E25)*100</f>
        <v>37.179521412847535</v>
      </c>
    </row>
    <row r="25" spans="1:7" x14ac:dyDescent="0.2">
      <c r="A25" s="35" t="s">
        <v>46</v>
      </c>
      <c r="B25" s="9">
        <f>_xlfn.STDEV.P(B21:B23)</f>
        <v>1.2848173238073786</v>
      </c>
      <c r="C25" s="9">
        <f>_xlfn.STDEV.P(C21:C23)</f>
        <v>0.18278037823209212</v>
      </c>
      <c r="D25" s="9">
        <f>_xlfn.STDEV.P(D21:D23)</f>
        <v>0.31843366656181277</v>
      </c>
      <c r="E25" s="9">
        <f>_xlfn.STDEV.P(E21:E23)</f>
        <v>0.11788129622633103</v>
      </c>
    </row>
    <row r="27" spans="1:7" x14ac:dyDescent="0.2">
      <c r="B27" s="1" t="str">
        <f>Moisture!B27</f>
        <v>Umido 2</v>
      </c>
    </row>
    <row r="28" spans="1:7" x14ac:dyDescent="0.2">
      <c r="B28" s="6" t="s">
        <v>7</v>
      </c>
      <c r="C28" s="6" t="s">
        <v>8</v>
      </c>
      <c r="D28" s="6" t="s">
        <v>9</v>
      </c>
      <c r="E28" s="6" t="s">
        <v>10</v>
      </c>
      <c r="F28" s="6" t="s">
        <v>12</v>
      </c>
    </row>
    <row r="29" spans="1:7" x14ac:dyDescent="0.2">
      <c r="B29" s="29">
        <v>42.48</v>
      </c>
      <c r="C29" s="29">
        <v>6.1120000000000001</v>
      </c>
      <c r="D29" s="29">
        <v>3.02</v>
      </c>
      <c r="E29" s="29">
        <v>0.69299999999999995</v>
      </c>
    </row>
    <row r="30" spans="1:7" x14ac:dyDescent="0.2">
      <c r="B30" s="29">
        <v>41.8</v>
      </c>
      <c r="C30" s="29">
        <v>5.9850000000000003</v>
      </c>
      <c r="D30" s="29">
        <v>3.04</v>
      </c>
      <c r="E30" s="29">
        <v>0.83599999999999997</v>
      </c>
    </row>
    <row r="31" spans="1:7" x14ac:dyDescent="0.2">
      <c r="B31" s="29">
        <v>41.04</v>
      </c>
      <c r="C31" s="29">
        <v>5.8579999999999997</v>
      </c>
      <c r="D31" s="29">
        <v>3.18</v>
      </c>
      <c r="E31" s="29">
        <v>1.03</v>
      </c>
    </row>
    <row r="32" spans="1:7" x14ac:dyDescent="0.2">
      <c r="A32" s="35" t="s">
        <v>11</v>
      </c>
      <c r="B32" s="11">
        <f t="shared" ref="B32:D32" si="7">AVERAGE(B29:B31)</f>
        <v>41.773333333333333</v>
      </c>
      <c r="C32" s="11">
        <f t="shared" si="7"/>
        <v>5.9850000000000003</v>
      </c>
      <c r="D32" s="11">
        <f t="shared" si="7"/>
        <v>3.08</v>
      </c>
      <c r="E32" s="11">
        <f>AVERAGE(E29:E31)</f>
        <v>0.85300000000000009</v>
      </c>
      <c r="F32" s="11">
        <f>(1-SUM(B32:E32)/100-Ash!E33)*100</f>
        <v>32.394423586489864</v>
      </c>
      <c r="G32" s="50"/>
    </row>
    <row r="33" spans="1:6" x14ac:dyDescent="0.2">
      <c r="A33" s="35" t="s">
        <v>46</v>
      </c>
      <c r="B33" s="9">
        <f>_xlfn.STDEV.P(B29:B31)</f>
        <v>0.58817986666967315</v>
      </c>
      <c r="C33" s="9">
        <f>_xlfn.STDEV.P(C29:C31)</f>
        <v>0.10369506577782141</v>
      </c>
      <c r="D33" s="9">
        <f>_xlfn.STDEV.P(D29:D31)</f>
        <v>7.1180521680208803E-2</v>
      </c>
      <c r="E33" s="9">
        <f>_xlfn.STDEV.P(E29:E31)</f>
        <v>0.13810382567715671</v>
      </c>
    </row>
    <row r="35" spans="1:6" x14ac:dyDescent="0.2">
      <c r="B35" s="1" t="str">
        <f>Moisture!B35</f>
        <v>Fanghi 1</v>
      </c>
      <c r="C35" s="6"/>
      <c r="D35" s="6"/>
      <c r="E35" s="6"/>
    </row>
    <row r="36" spans="1:6" x14ac:dyDescent="0.2">
      <c r="B36" s="6" t="s">
        <v>7</v>
      </c>
      <c r="C36" s="6" t="s">
        <v>8</v>
      </c>
      <c r="D36" s="6" t="s">
        <v>9</v>
      </c>
      <c r="E36" s="6" t="s">
        <v>10</v>
      </c>
      <c r="F36" s="6" t="s">
        <v>12</v>
      </c>
    </row>
    <row r="37" spans="1:6" x14ac:dyDescent="0.2">
      <c r="B37" s="29">
        <v>45.29</v>
      </c>
      <c r="C37" s="29">
        <v>7.0279999999999996</v>
      </c>
      <c r="D37" s="29">
        <v>6.06</v>
      </c>
      <c r="E37" s="29">
        <v>1.2330000000000001</v>
      </c>
    </row>
    <row r="38" spans="1:6" x14ac:dyDescent="0.2">
      <c r="B38" s="29">
        <v>45.43</v>
      </c>
      <c r="C38" s="29">
        <v>7.0810000000000004</v>
      </c>
      <c r="D38" s="29">
        <v>5.92</v>
      </c>
      <c r="E38" s="29">
        <v>1.3260000000000001</v>
      </c>
    </row>
    <row r="39" spans="1:6" x14ac:dyDescent="0.2">
      <c r="B39" s="29">
        <v>44.94</v>
      </c>
      <c r="C39" s="29">
        <v>6.9640000000000004</v>
      </c>
      <c r="D39" s="29">
        <v>5.73</v>
      </c>
      <c r="E39" s="29">
        <v>1.2569999999999999</v>
      </c>
    </row>
    <row r="40" spans="1:6" x14ac:dyDescent="0.2">
      <c r="A40" s="35" t="s">
        <v>11</v>
      </c>
      <c r="B40" s="11">
        <f t="shared" ref="B40:D40" si="8">AVERAGE(B37:B39)</f>
        <v>45.22</v>
      </c>
      <c r="C40" s="11">
        <f t="shared" si="8"/>
        <v>7.0243333333333338</v>
      </c>
      <c r="D40" s="11">
        <f t="shared" si="8"/>
        <v>5.9033333333333333</v>
      </c>
      <c r="E40" s="11">
        <f>AVERAGE(E37:E39)</f>
        <v>1.272</v>
      </c>
      <c r="F40" s="11">
        <f>(1-SUM(B40:E40)/100-Ash!E41)*100</f>
        <v>40.580333333333343</v>
      </c>
    </row>
    <row r="41" spans="1:6" x14ac:dyDescent="0.2">
      <c r="A41" s="35" t="s">
        <v>46</v>
      </c>
      <c r="B41" s="9">
        <f>_xlfn.STDEV.P(B37:B39)</f>
        <v>0.20607442021431727</v>
      </c>
      <c r="C41" s="9">
        <f>_xlfn.STDEV.P(C37:C39)</f>
        <v>4.783536581047771E-2</v>
      </c>
      <c r="D41" s="9">
        <f>_xlfn.STDEV.P(D37:D39)</f>
        <v>0.13523641850067164</v>
      </c>
      <c r="E41" s="9">
        <f>_xlfn.STDEV.P(E37:E39)</f>
        <v>3.9420806688854067E-2</v>
      </c>
    </row>
    <row r="43" spans="1:6" x14ac:dyDescent="0.2">
      <c r="B43" s="1" t="str">
        <f>Moisture!B43</f>
        <v>Fanghi 2</v>
      </c>
    </row>
    <row r="44" spans="1:6" x14ac:dyDescent="0.2">
      <c r="B44" s="6" t="s">
        <v>7</v>
      </c>
      <c r="C44" s="6" t="s">
        <v>8</v>
      </c>
      <c r="D44" s="6" t="s">
        <v>9</v>
      </c>
      <c r="E44" s="6" t="s">
        <v>10</v>
      </c>
      <c r="F44" s="6" t="s">
        <v>12</v>
      </c>
    </row>
    <row r="45" spans="1:6" x14ac:dyDescent="0.2">
      <c r="B45" s="29">
        <v>45.99</v>
      </c>
      <c r="C45" s="29">
        <v>7.3410000000000002</v>
      </c>
      <c r="D45" s="29">
        <v>6.04</v>
      </c>
      <c r="E45" s="29">
        <v>1.3009999999999999</v>
      </c>
    </row>
    <row r="46" spans="1:6" x14ac:dyDescent="0.2">
      <c r="B46" s="29">
        <v>45.18</v>
      </c>
      <c r="C46" s="29">
        <v>7.11</v>
      </c>
      <c r="D46" s="29">
        <v>5.87</v>
      </c>
      <c r="E46" s="29">
        <v>1.33</v>
      </c>
    </row>
    <row r="47" spans="1:6" x14ac:dyDescent="0.2">
      <c r="B47" s="29">
        <v>45.45</v>
      </c>
      <c r="C47" s="29">
        <v>7.1769999999999996</v>
      </c>
      <c r="D47" s="29">
        <v>5.82</v>
      </c>
      <c r="E47" s="29">
        <v>1.262</v>
      </c>
    </row>
    <row r="48" spans="1:6" x14ac:dyDescent="0.2">
      <c r="A48" s="35" t="s">
        <v>11</v>
      </c>
      <c r="B48" s="11">
        <f t="shared" ref="B48:D48" si="9">AVERAGE(B45:B47)</f>
        <v>45.54</v>
      </c>
      <c r="C48" s="11">
        <f t="shared" si="9"/>
        <v>7.2093333333333334</v>
      </c>
      <c r="D48" s="11">
        <f t="shared" si="9"/>
        <v>5.91</v>
      </c>
      <c r="E48" s="11">
        <f>AVERAGE(E45:E47)</f>
        <v>1.2976666666666667</v>
      </c>
      <c r="F48" s="11">
        <f>(1-SUM(B48:E48)/100-Ash!E49)*100</f>
        <v>40.042999999999992</v>
      </c>
    </row>
    <row r="49" spans="1:5" x14ac:dyDescent="0.2">
      <c r="A49" s="35" t="s">
        <v>46</v>
      </c>
      <c r="B49" s="9">
        <f>_xlfn.STDEV.P(B45:B47)</f>
        <v>0.33674916480965544</v>
      </c>
      <c r="C49" s="9">
        <f>_xlfn.STDEV.P(C45:C47)</f>
        <v>9.7037220808420865E-2</v>
      </c>
      <c r="D49" s="9">
        <f>_xlfn.STDEV.P(D45:D47)</f>
        <v>9.4162979278836809E-2</v>
      </c>
      <c r="E49" s="9">
        <f>_xlfn.STDEV.P(E45:E47)</f>
        <v>2.7860764925289171E-2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1"/>
  <sheetViews>
    <sheetView workbookViewId="0">
      <pane ySplit="1" topLeftCell="A2" activePane="bottomLeft" state="frozen"/>
      <selection pane="bottomLeft" activeCell="D45" sqref="D45"/>
    </sheetView>
  </sheetViews>
  <sheetFormatPr baseColWidth="10" defaultColWidth="9.1640625" defaultRowHeight="15" x14ac:dyDescent="0.2"/>
  <cols>
    <col min="2" max="2" width="14.83203125" bestFit="1" customWidth="1"/>
    <col min="3" max="3" width="15" bestFit="1" customWidth="1"/>
    <col min="4" max="4" width="14.5" bestFit="1" customWidth="1"/>
  </cols>
  <sheetData>
    <row r="1" spans="1:5" x14ac:dyDescent="0.2">
      <c r="A1" s="35"/>
      <c r="B1" s="46" t="s">
        <v>59</v>
      </c>
      <c r="C1" s="47"/>
      <c r="D1" s="47"/>
      <c r="E1" s="47"/>
    </row>
    <row r="2" spans="1:5" x14ac:dyDescent="0.2">
      <c r="A2" s="35"/>
      <c r="C2" s="2" t="s">
        <v>37</v>
      </c>
      <c r="D2" s="26">
        <f>Moisture!J8</f>
        <v>2.5706424355077338E-2</v>
      </c>
    </row>
    <row r="3" spans="1:5" x14ac:dyDescent="0.2">
      <c r="B3" s="1" t="str">
        <f>Moisture!B3</f>
        <v>Secco 1</v>
      </c>
      <c r="C3" s="2" t="s">
        <v>38</v>
      </c>
      <c r="D3" s="26">
        <f>CHNS!C8/100</f>
        <v>6.618333333333333E-2</v>
      </c>
    </row>
    <row r="4" spans="1:5" x14ac:dyDescent="0.2">
      <c r="B4" s="6" t="s">
        <v>32</v>
      </c>
      <c r="C4" s="6" t="s">
        <v>33</v>
      </c>
      <c r="D4" s="6" t="s">
        <v>34</v>
      </c>
    </row>
    <row r="5" spans="1:5" x14ac:dyDescent="0.2">
      <c r="B5" s="29">
        <v>18.297000000000001</v>
      </c>
      <c r="C5" s="9">
        <f>IF(ISBLANK(B5),"",B5/(1-D2))</f>
        <v>18.779760492507105</v>
      </c>
      <c r="D5" s="9">
        <f>IF(ISBLANK(B5),"",C5-2.443*8.936*D3)</f>
        <v>17.334935439040439</v>
      </c>
    </row>
    <row r="6" spans="1:5" x14ac:dyDescent="0.2">
      <c r="B6" s="29">
        <v>18.271000000000001</v>
      </c>
      <c r="C6" s="9">
        <f>IF(ISBLANK(B6),"",B6/(1-D2))</f>
        <v>18.753074490823483</v>
      </c>
      <c r="D6" s="9">
        <f>IF(ISBLANK(B6),"",C6-2.443*8.936*D3)</f>
        <v>17.308249437356817</v>
      </c>
    </row>
    <row r="7" spans="1:5" x14ac:dyDescent="0.2">
      <c r="B7" s="29">
        <v>18.268000000000001</v>
      </c>
      <c r="C7" s="9">
        <f>IF(ISBLANK(B7),"",B7/(1-D2))</f>
        <v>18.749995336783066</v>
      </c>
      <c r="D7" s="9">
        <f>IF(ISBLANK(B7),"",C7-2.443*8.936*D3)</f>
        <v>17.3051702833164</v>
      </c>
    </row>
    <row r="8" spans="1:5" x14ac:dyDescent="0.2">
      <c r="A8" s="35" t="s">
        <v>11</v>
      </c>
      <c r="B8" s="11">
        <f>AVERAGE(B5:B7)</f>
        <v>18.278666666666666</v>
      </c>
      <c r="C8" s="11">
        <f t="shared" ref="C8:D8" si="0">AVERAGE(C5:C7)</f>
        <v>18.760943440037884</v>
      </c>
      <c r="D8" s="11">
        <f t="shared" si="0"/>
        <v>17.316118386571219</v>
      </c>
    </row>
    <row r="9" spans="1:5" x14ac:dyDescent="0.2">
      <c r="A9" s="35" t="s">
        <v>46</v>
      </c>
      <c r="B9" s="9">
        <f>_xlfn.STDEV.P(B5:B7)</f>
        <v>1.3021349989749678E-2</v>
      </c>
      <c r="C9" s="9">
        <f t="shared" ref="C9:D9" si="1">_xlfn.STDEV.P(C5:C7)</f>
        <v>1.3364914144211064E-2</v>
      </c>
      <c r="D9" s="9">
        <f t="shared" si="1"/>
        <v>1.3364914144211064E-2</v>
      </c>
    </row>
    <row r="10" spans="1:5" x14ac:dyDescent="0.2">
      <c r="C10" s="2" t="s">
        <v>37</v>
      </c>
      <c r="D10" s="26">
        <f>Moisture!J16</f>
        <v>3.0323860936255661E-2</v>
      </c>
    </row>
    <row r="11" spans="1:5" x14ac:dyDescent="0.2">
      <c r="B11" s="1" t="str">
        <f>Moisture!B11</f>
        <v>Secco 2</v>
      </c>
      <c r="C11" s="2" t="s">
        <v>38</v>
      </c>
      <c r="D11" s="26">
        <f>CHNS!C16/100</f>
        <v>5.9679999999999997E-2</v>
      </c>
    </row>
    <row r="12" spans="1:5" x14ac:dyDescent="0.2">
      <c r="B12" s="6" t="s">
        <v>32</v>
      </c>
      <c r="C12" s="6" t="s">
        <v>33</v>
      </c>
      <c r="D12" s="6" t="s">
        <v>34</v>
      </c>
    </row>
    <row r="13" spans="1:5" x14ac:dyDescent="0.2">
      <c r="B13" s="29">
        <v>16.446000000000002</v>
      </c>
      <c r="C13" s="9">
        <f>IF(ISBLANK(B13),"",B13/(1-D10))</f>
        <v>16.960301834258992</v>
      </c>
      <c r="D13" s="9">
        <f>IF(ISBLANK(B13),"",C13-2.443*8.936*D11)</f>
        <v>15.657448761618992</v>
      </c>
    </row>
    <row r="14" spans="1:5" x14ac:dyDescent="0.2">
      <c r="B14" s="29">
        <v>17.119</v>
      </c>
      <c r="C14" s="9">
        <f>IF(ISBLANK(B14),"",B14/(1-D10))</f>
        <v>17.654347993474381</v>
      </c>
      <c r="D14" s="9">
        <f>IF(ISBLANK(B14),"",C14-2.443*8.936*D11)</f>
        <v>16.35149492083438</v>
      </c>
    </row>
    <row r="15" spans="1:5" x14ac:dyDescent="0.2">
      <c r="B15" s="29">
        <v>17.265999999999998</v>
      </c>
      <c r="C15" s="9">
        <f>IF(ISBLANK(B15),"",B15/(1-D10))</f>
        <v>17.805945000019197</v>
      </c>
      <c r="D15" s="9">
        <f>IF(ISBLANK(B15),"",C15-2.443*8.936*D11)</f>
        <v>16.503091927379195</v>
      </c>
      <c r="E15">
        <v>14.8</v>
      </c>
    </row>
    <row r="16" spans="1:5" x14ac:dyDescent="0.2">
      <c r="A16" s="35" t="s">
        <v>11</v>
      </c>
      <c r="B16" s="11">
        <f>AVERAGE(B13:B15)</f>
        <v>16.943666666666665</v>
      </c>
      <c r="C16" s="11">
        <f t="shared" ref="C16" si="2">AVERAGE(C13:C15)</f>
        <v>17.473531609250855</v>
      </c>
      <c r="D16" s="11">
        <f t="shared" ref="D16" si="3">AVERAGE(D13:D15)</f>
        <v>16.170678536610854</v>
      </c>
    </row>
    <row r="17" spans="1:11" x14ac:dyDescent="0.2">
      <c r="A17" s="35" t="s">
        <v>46</v>
      </c>
      <c r="B17" s="9">
        <f>_xlfn.STDEV.P(B13:B15)</f>
        <v>0.356983971006479</v>
      </c>
      <c r="C17" s="9">
        <f t="shared" ref="C17:D17" si="4">_xlfn.STDEV.P(C13:C15)</f>
        <v>0.36814762849703575</v>
      </c>
      <c r="D17" s="9">
        <f t="shared" si="4"/>
        <v>0.36814762849703497</v>
      </c>
    </row>
    <row r="18" spans="1:11" x14ac:dyDescent="0.2">
      <c r="C18" s="2" t="s">
        <v>37</v>
      </c>
      <c r="D18" s="26">
        <f>Moisture!J24</f>
        <v>3.6249084212562031E-2</v>
      </c>
    </row>
    <row r="19" spans="1:11" x14ac:dyDescent="0.2">
      <c r="B19" s="1" t="str">
        <f>Moisture!B19</f>
        <v>Umido 1</v>
      </c>
      <c r="C19" s="2" t="s">
        <v>38</v>
      </c>
      <c r="D19" s="26">
        <f>CHNS!C24/100</f>
        <v>6.6020000000000009E-2</v>
      </c>
    </row>
    <row r="20" spans="1:11" x14ac:dyDescent="0.2">
      <c r="B20" s="6" t="s">
        <v>32</v>
      </c>
      <c r="C20" s="6" t="s">
        <v>33</v>
      </c>
      <c r="D20" s="6" t="s">
        <v>34</v>
      </c>
    </row>
    <row r="21" spans="1:11" x14ac:dyDescent="0.2">
      <c r="B21" s="29">
        <v>26.116</v>
      </c>
      <c r="C21" s="9">
        <f>IF(ISBLANK(B21),"",B21/(1-D18))</f>
        <v>27.098288128381988</v>
      </c>
      <c r="D21" s="9">
        <f>IF(ISBLANK(B21),"",C21-2.443*8.936*D19)</f>
        <v>25.657028747421986</v>
      </c>
    </row>
    <row r="22" spans="1:11" x14ac:dyDescent="0.2">
      <c r="B22" s="29">
        <v>23.452999999999999</v>
      </c>
      <c r="C22" s="9">
        <f>IF(ISBLANK(B22),"",B22/(1-D18))</f>
        <v>24.335126032889523</v>
      </c>
      <c r="D22" s="9">
        <f>IF(ISBLANK(B22),"",C22-2.443*8.936*D19)</f>
        <v>22.893866651929521</v>
      </c>
    </row>
    <row r="23" spans="1:11" x14ac:dyDescent="0.2">
      <c r="B23" s="29">
        <v>26.536000000000001</v>
      </c>
      <c r="C23" s="9">
        <f>IF(ISBLANK(B23),"",B23/(1-D18))</f>
        <v>27.534085379642537</v>
      </c>
      <c r="D23" s="9">
        <f>IF(ISBLANK(B23),"",C23-2.443*8.936*D19)</f>
        <v>26.092825998682535</v>
      </c>
    </row>
    <row r="24" spans="1:11" x14ac:dyDescent="0.2">
      <c r="A24" s="35" t="s">
        <v>11</v>
      </c>
      <c r="B24" s="11">
        <f>AVERAGE(B21:B23)</f>
        <v>25.368333333333336</v>
      </c>
      <c r="C24" s="11">
        <f t="shared" ref="C24" si="5">AVERAGE(C21:C23)</f>
        <v>26.32249984697135</v>
      </c>
      <c r="D24" s="11">
        <f t="shared" ref="D24" si="6">AVERAGE(D21:D23)</f>
        <v>24.881240466011349</v>
      </c>
    </row>
    <row r="25" spans="1:11" x14ac:dyDescent="0.2">
      <c r="A25" s="35" t="s">
        <v>46</v>
      </c>
      <c r="B25" s="9">
        <f>_xlfn.STDEV.P(B21:B23)</f>
        <v>1.3651559943423648</v>
      </c>
      <c r="C25" s="9">
        <f t="shared" ref="C25:D25" si="7">_xlfn.STDEV.P(C21:C23)</f>
        <v>1.4165029282768113</v>
      </c>
      <c r="D25" s="9">
        <f t="shared" si="7"/>
        <v>1.4165029282768113</v>
      </c>
    </row>
    <row r="26" spans="1:11" x14ac:dyDescent="0.2">
      <c r="C26" s="2" t="s">
        <v>37</v>
      </c>
      <c r="D26" s="26">
        <f>Moisture!J32</f>
        <v>1.5257205801391846E-2</v>
      </c>
    </row>
    <row r="27" spans="1:11" x14ac:dyDescent="0.2">
      <c r="B27" s="1" t="str">
        <f>Moisture!B27</f>
        <v>Umido 2</v>
      </c>
      <c r="C27" s="2" t="s">
        <v>38</v>
      </c>
      <c r="D27" s="26">
        <f>CHNS!C32/100</f>
        <v>5.985E-2</v>
      </c>
    </row>
    <row r="28" spans="1:11" x14ac:dyDescent="0.2">
      <c r="B28" s="6" t="s">
        <v>32</v>
      </c>
      <c r="C28" s="6" t="s">
        <v>33</v>
      </c>
      <c r="D28" s="6" t="s">
        <v>34</v>
      </c>
      <c r="G28" s="33"/>
      <c r="H28" s="31"/>
      <c r="I28" s="31"/>
      <c r="J28" s="32"/>
      <c r="K28" s="6"/>
    </row>
    <row r="29" spans="1:11" x14ac:dyDescent="0.2">
      <c r="B29" s="29">
        <v>16.212</v>
      </c>
      <c r="C29" s="9">
        <f>IF(ISBLANK(B29),"",B29/(1-D26))</f>
        <v>16.463182158335528</v>
      </c>
      <c r="D29" s="9">
        <f>IF(ISBLANK(B29),"",C29-2.443*8.936*D27)</f>
        <v>15.156617875535527</v>
      </c>
      <c r="G29" s="33"/>
      <c r="H29" s="31"/>
      <c r="I29" s="31"/>
      <c r="J29" s="32"/>
      <c r="K29" s="6"/>
    </row>
    <row r="30" spans="1:11" x14ac:dyDescent="0.2">
      <c r="B30" s="29">
        <v>16.113</v>
      </c>
      <c r="C30" s="9">
        <f>IF(ISBLANK(B30),"",B30/(1-D26))</f>
        <v>16.362648292453759</v>
      </c>
      <c r="D30" s="9">
        <f>IF(ISBLANK(B30),"",C30-2.443*8.936*D27)</f>
        <v>15.056084009653759</v>
      </c>
      <c r="G30" s="33"/>
      <c r="H30" s="31"/>
      <c r="I30" s="31"/>
      <c r="J30" s="32"/>
      <c r="K30" s="6"/>
    </row>
    <row r="31" spans="1:11" x14ac:dyDescent="0.2">
      <c r="B31" s="29">
        <v>16.192</v>
      </c>
      <c r="C31" s="9">
        <f>IF(ISBLANK(B31),"",B31/(1-D26))</f>
        <v>16.44287228644022</v>
      </c>
      <c r="D31" s="9">
        <f>IF(ISBLANK(B31),"",C31-2.443*8.936*D27)</f>
        <v>15.13630800364022</v>
      </c>
      <c r="H31" s="31"/>
      <c r="I31" s="31"/>
      <c r="J31" s="32"/>
      <c r="K31" s="6"/>
    </row>
    <row r="32" spans="1:11" x14ac:dyDescent="0.2">
      <c r="A32" s="35" t="s">
        <v>11</v>
      </c>
      <c r="B32" s="11">
        <f>AVERAGE(B29:B31)</f>
        <v>16.172333333333334</v>
      </c>
      <c r="C32" s="11">
        <f t="shared" ref="C32" si="8">AVERAGE(C29:C31)</f>
        <v>16.422900912409833</v>
      </c>
      <c r="D32" s="11">
        <f t="shared" ref="D32" si="9">AVERAGE(D29:D31)</f>
        <v>15.116336629609835</v>
      </c>
      <c r="G32" s="33"/>
      <c r="H32" s="31"/>
      <c r="I32" s="31"/>
      <c r="J32" s="32"/>
      <c r="K32" s="6"/>
    </row>
    <row r="33" spans="1:11" x14ac:dyDescent="0.2">
      <c r="A33" s="35" t="s">
        <v>46</v>
      </c>
      <c r="B33" s="9">
        <f>_xlfn.STDEV.P(B29:B31)</f>
        <v>4.2742120781366265E-2</v>
      </c>
      <c r="C33" s="9">
        <f t="shared" ref="C33:D33" si="10">_xlfn.STDEV.P(C29:C31)</f>
        <v>4.340434988016368E-2</v>
      </c>
      <c r="D33" s="9">
        <f t="shared" si="10"/>
        <v>4.340434988016368E-2</v>
      </c>
      <c r="G33" s="33"/>
      <c r="H33" s="31"/>
      <c r="I33" s="31"/>
      <c r="J33" s="32"/>
      <c r="K33" s="6"/>
    </row>
    <row r="34" spans="1:11" x14ac:dyDescent="0.2">
      <c r="C34" s="2" t="s">
        <v>37</v>
      </c>
      <c r="D34" s="26">
        <f>Moisture!J40</f>
        <v>3.0699126782601283E-2</v>
      </c>
      <c r="G34" s="33"/>
      <c r="H34" s="31"/>
      <c r="I34" s="31"/>
      <c r="J34" s="32"/>
      <c r="K34" s="6"/>
    </row>
    <row r="35" spans="1:11" x14ac:dyDescent="0.2">
      <c r="B35" s="1" t="str">
        <f>Moisture!B35</f>
        <v>Fanghi 1</v>
      </c>
      <c r="C35" s="2" t="s">
        <v>38</v>
      </c>
      <c r="D35" s="26">
        <f>CHNS!C40/100</f>
        <v>7.0243333333333338E-2</v>
      </c>
      <c r="H35" s="31"/>
      <c r="I35" s="31"/>
      <c r="J35" s="32"/>
      <c r="K35" s="6"/>
    </row>
    <row r="36" spans="1:11" x14ac:dyDescent="0.2">
      <c r="B36" s="6" t="s">
        <v>32</v>
      </c>
      <c r="C36" s="6" t="s">
        <v>33</v>
      </c>
      <c r="D36" s="6" t="s">
        <v>34</v>
      </c>
      <c r="G36" s="33"/>
      <c r="H36" s="31"/>
      <c r="I36" s="31"/>
      <c r="J36" s="32"/>
      <c r="K36" s="6"/>
    </row>
    <row r="37" spans="1:11" x14ac:dyDescent="0.2">
      <c r="B37" s="29">
        <v>18.349</v>
      </c>
      <c r="C37" s="9">
        <f>IF(ISBLANK(B37),"",B37/(1-D34))</f>
        <v>18.930138728849172</v>
      </c>
      <c r="D37" s="9">
        <f>IF(ISBLANK(B37),"",C37-2.443*8.936*D35)</f>
        <v>17.396681244502506</v>
      </c>
      <c r="G37" s="33"/>
      <c r="H37" s="31"/>
      <c r="I37" s="31"/>
      <c r="J37" s="32"/>
      <c r="K37" s="6"/>
    </row>
    <row r="38" spans="1:11" x14ac:dyDescent="0.2">
      <c r="B38" s="29">
        <v>18.391999999999999</v>
      </c>
      <c r="C38" s="9">
        <f>IF(ISBLANK(B38),"",B38/(1-D34))</f>
        <v>18.97450059954188</v>
      </c>
      <c r="D38" s="9">
        <f>IF(ISBLANK(B38),"",C38-2.443*8.936*D35)</f>
        <v>17.441043115195214</v>
      </c>
      <c r="G38" s="33"/>
      <c r="H38" s="31"/>
      <c r="I38" s="31"/>
      <c r="J38" s="32"/>
      <c r="K38" s="6"/>
    </row>
    <row r="39" spans="1:11" x14ac:dyDescent="0.2">
      <c r="B39" s="29">
        <v>18.273</v>
      </c>
      <c r="C39" s="9">
        <f>IF(ISBLANK(B39),"",B39/(1-D34))</f>
        <v>18.851731701578338</v>
      </c>
      <c r="D39" s="9">
        <f>IF(ISBLANK(B39),"",C39-2.443*8.936*D35)</f>
        <v>17.318274217231671</v>
      </c>
      <c r="H39" s="31"/>
      <c r="I39" s="31"/>
      <c r="J39" s="32"/>
      <c r="K39" s="6"/>
    </row>
    <row r="40" spans="1:11" x14ac:dyDescent="0.2">
      <c r="A40" s="35" t="s">
        <v>11</v>
      </c>
      <c r="B40" s="11">
        <f>AVERAGE(B37:B39)</f>
        <v>18.337999999999997</v>
      </c>
      <c r="C40" s="11">
        <f t="shared" ref="C40" si="11">AVERAGE(C37:C39)</f>
        <v>18.918790343323131</v>
      </c>
      <c r="D40" s="11">
        <f t="shared" ref="D40" si="12">AVERAGE(D37:D39)</f>
        <v>17.385332858976465</v>
      </c>
      <c r="G40" s="33"/>
      <c r="H40" s="31"/>
      <c r="I40" s="31"/>
      <c r="J40" s="32"/>
      <c r="K40" s="6"/>
    </row>
    <row r="41" spans="1:11" x14ac:dyDescent="0.2">
      <c r="A41" s="35" t="s">
        <v>46</v>
      </c>
      <c r="B41" s="9">
        <f>_xlfn.STDEV.P(B37:B39)</f>
        <v>4.9200271001963621E-2</v>
      </c>
      <c r="C41" s="9">
        <f t="shared" ref="C41:D41" si="13">_xlfn.STDEV.P(C37:C39)</f>
        <v>5.075851302872874E-2</v>
      </c>
      <c r="D41" s="9">
        <f t="shared" si="13"/>
        <v>5.075851302872874E-2</v>
      </c>
      <c r="G41" s="33"/>
      <c r="H41" s="31"/>
      <c r="I41" s="31"/>
      <c r="J41" s="32"/>
      <c r="K41" s="6"/>
    </row>
    <row r="42" spans="1:11" x14ac:dyDescent="0.2">
      <c r="C42" s="2" t="s">
        <v>37</v>
      </c>
      <c r="D42" s="26">
        <f>Moisture!J48</f>
        <v>2.630159263261854E-2</v>
      </c>
      <c r="G42" s="33"/>
      <c r="H42" s="31"/>
      <c r="I42" s="31"/>
      <c r="J42" s="32"/>
      <c r="K42" s="6"/>
    </row>
    <row r="43" spans="1:11" x14ac:dyDescent="0.2">
      <c r="B43" s="1" t="str">
        <f>Moisture!B43</f>
        <v>Fanghi 2</v>
      </c>
      <c r="C43" s="2" t="s">
        <v>38</v>
      </c>
      <c r="D43" s="26">
        <f>CHNS!C48/100</f>
        <v>7.2093333333333329E-2</v>
      </c>
      <c r="H43" s="31"/>
      <c r="I43" s="31"/>
      <c r="J43" s="32"/>
      <c r="K43" s="6"/>
    </row>
    <row r="44" spans="1:11" x14ac:dyDescent="0.2">
      <c r="B44" s="6" t="s">
        <v>32</v>
      </c>
      <c r="C44" s="6" t="s">
        <v>33</v>
      </c>
      <c r="D44" s="6" t="s">
        <v>34</v>
      </c>
      <c r="G44" s="33"/>
      <c r="H44" s="31"/>
      <c r="I44" s="31"/>
      <c r="J44" s="32"/>
      <c r="K44" s="6"/>
    </row>
    <row r="45" spans="1:11" x14ac:dyDescent="0.2">
      <c r="B45" s="29">
        <v>18.564</v>
      </c>
      <c r="C45" s="9">
        <f>IF(ISBLANK(B45),"",B45/(1-D42))</f>
        <v>19.065451745157993</v>
      </c>
      <c r="D45" s="9">
        <f>IF(ISBLANK(B45),"",C45-2.443*8.936*D43)</f>
        <v>17.491607562011328</v>
      </c>
      <c r="G45" s="33"/>
      <c r="H45" s="31"/>
      <c r="I45" s="31"/>
      <c r="J45" s="32"/>
      <c r="K45" s="6"/>
    </row>
    <row r="46" spans="1:11" x14ac:dyDescent="0.2">
      <c r="B46" s="29">
        <v>18.408999999999999</v>
      </c>
      <c r="C46" s="9">
        <f>IF(ISBLANK(B46),"",B46/(1-D42))</f>
        <v>18.906264876999217</v>
      </c>
      <c r="D46" s="9">
        <f>IF(ISBLANK(B46),"",C46-2.443*8.936*D43)</f>
        <v>17.332420693852551</v>
      </c>
      <c r="G46" s="33"/>
      <c r="H46" s="31"/>
      <c r="I46" s="31"/>
      <c r="J46" s="32"/>
      <c r="K46" s="6"/>
    </row>
    <row r="47" spans="1:11" x14ac:dyDescent="0.2">
      <c r="B47" s="29">
        <v>18.465</v>
      </c>
      <c r="C47" s="9">
        <f>IF(ISBLANK(B47),"",B47/(1-D42))</f>
        <v>18.963777551946905</v>
      </c>
      <c r="D47" s="9">
        <f>IF(ISBLANK(B47),"",C47-2.443*8.936*D43)</f>
        <v>17.389933368800239</v>
      </c>
    </row>
    <row r="48" spans="1:11" x14ac:dyDescent="0.2">
      <c r="A48" s="35" t="s">
        <v>11</v>
      </c>
      <c r="B48" s="11">
        <f>AVERAGE(B45:B47)</f>
        <v>18.479333333333333</v>
      </c>
      <c r="C48" s="11">
        <f t="shared" ref="C48" si="14">AVERAGE(C45:C47)</f>
        <v>18.978498058034706</v>
      </c>
      <c r="D48" s="11">
        <f t="shared" ref="D48" si="15">AVERAGE(D45:D47)</f>
        <v>17.404653874888041</v>
      </c>
    </row>
    <row r="49" spans="1:4" x14ac:dyDescent="0.2">
      <c r="A49" s="35" t="s">
        <v>46</v>
      </c>
      <c r="B49" s="9">
        <f>_xlfn.STDEV.P(B45:B47)</f>
        <v>6.4085012981889483E-2</v>
      </c>
      <c r="C49" s="9">
        <f t="shared" ref="C49:D49" si="16">_xlfn.STDEV.P(C45:C47)</f>
        <v>6.5816080725815948E-2</v>
      </c>
      <c r="D49" s="9">
        <f t="shared" si="16"/>
        <v>6.5816080725815948E-2</v>
      </c>
    </row>
    <row r="50" spans="1:4" x14ac:dyDescent="0.2">
      <c r="C50" s="2"/>
      <c r="D50" s="26"/>
    </row>
    <row r="51" spans="1:4" x14ac:dyDescent="0.2">
      <c r="A51" s="1"/>
      <c r="B51" s="1"/>
      <c r="C51" s="2"/>
      <c r="D51" s="26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3:U37"/>
  <sheetViews>
    <sheetView zoomScale="90" zoomScaleNormal="90" workbookViewId="0">
      <selection activeCell="K16" sqref="K16"/>
    </sheetView>
  </sheetViews>
  <sheetFormatPr baseColWidth="10" defaultColWidth="8.83203125" defaultRowHeight="15" x14ac:dyDescent="0.2"/>
  <cols>
    <col min="4" max="5" width="9.1640625"/>
    <col min="11" max="12" width="9.1640625"/>
    <col min="18" max="19" width="9.1640625"/>
  </cols>
  <sheetData>
    <row r="3" spans="2:21" x14ac:dyDescent="0.2">
      <c r="B3" s="1" t="str">
        <f>Moisture!B3</f>
        <v>Secco 1</v>
      </c>
      <c r="G3" s="2"/>
      <c r="I3" s="1" t="str">
        <f>Moisture!B11</f>
        <v>Secco 2</v>
      </c>
      <c r="N3" s="2"/>
      <c r="P3" s="1" t="str">
        <f>Moisture!B19</f>
        <v>Umido 1</v>
      </c>
      <c r="U3" s="2"/>
    </row>
    <row r="4" spans="2:21" x14ac:dyDescent="0.2">
      <c r="B4" s="20"/>
      <c r="C4" s="21"/>
      <c r="D4" s="22" t="s">
        <v>5</v>
      </c>
      <c r="E4" s="22" t="s">
        <v>31</v>
      </c>
      <c r="F4" s="22" t="s">
        <v>6</v>
      </c>
      <c r="G4" s="23" t="s">
        <v>18</v>
      </c>
      <c r="I4" s="20"/>
      <c r="J4" s="21"/>
      <c r="K4" s="22" t="s">
        <v>5</v>
      </c>
      <c r="L4" s="22" t="s">
        <v>31</v>
      </c>
      <c r="M4" s="22" t="s">
        <v>6</v>
      </c>
      <c r="N4" s="23" t="s">
        <v>18</v>
      </c>
      <c r="P4" s="20"/>
      <c r="Q4" s="21"/>
      <c r="R4" s="22" t="s">
        <v>5</v>
      </c>
      <c r="S4" s="22" t="s">
        <v>31</v>
      </c>
      <c r="T4" s="22" t="s">
        <v>6</v>
      </c>
      <c r="U4" s="23" t="s">
        <v>18</v>
      </c>
    </row>
    <row r="5" spans="2:21" x14ac:dyDescent="0.2">
      <c r="B5" s="12" t="s">
        <v>19</v>
      </c>
      <c r="C5" s="9" t="s">
        <v>20</v>
      </c>
      <c r="D5" s="13">
        <f>Moisture!E8*100</f>
        <v>6.6267057628529926</v>
      </c>
      <c r="E5" s="13">
        <f>Moisture!J8*100</f>
        <v>2.5706424355077337</v>
      </c>
      <c r="F5" s="14" t="s">
        <v>21</v>
      </c>
      <c r="G5" s="15" t="s">
        <v>21</v>
      </c>
      <c r="I5" s="12" t="s">
        <v>19</v>
      </c>
      <c r="J5" s="9" t="s">
        <v>20</v>
      </c>
      <c r="K5" s="13">
        <f>Moisture!E16*100</f>
        <v>12.674287852014023</v>
      </c>
      <c r="L5" s="13">
        <f>Moisture!J16*100</f>
        <v>3.0323860936255662</v>
      </c>
      <c r="M5" s="14" t="s">
        <v>21</v>
      </c>
      <c r="N5" s="15" t="s">
        <v>21</v>
      </c>
      <c r="P5" s="12" t="s">
        <v>19</v>
      </c>
      <c r="Q5" s="9" t="s">
        <v>20</v>
      </c>
      <c r="R5" s="13">
        <f>Moisture!E24*100</f>
        <v>78.125147244623705</v>
      </c>
      <c r="S5" s="13">
        <f>Moisture!J24*100</f>
        <v>3.6249084212562033</v>
      </c>
      <c r="T5" s="14" t="s">
        <v>21</v>
      </c>
      <c r="U5" s="15" t="s">
        <v>21</v>
      </c>
    </row>
    <row r="6" spans="2:21" x14ac:dyDescent="0.2">
      <c r="B6" s="12" t="s">
        <v>22</v>
      </c>
      <c r="C6" s="9" t="s">
        <v>20</v>
      </c>
      <c r="D6" s="9">
        <f>F6*(1-D5/100)</f>
        <v>11.037215011276118</v>
      </c>
      <c r="E6" s="9">
        <f>F6*(1-E5/100)</f>
        <v>11.516663052699633</v>
      </c>
      <c r="F6" s="13">
        <f>Ash!K9*100</f>
        <v>11.820526523616156</v>
      </c>
      <c r="G6" s="15" t="s">
        <v>21</v>
      </c>
      <c r="I6" s="12" t="s">
        <v>22</v>
      </c>
      <c r="J6" s="9" t="s">
        <v>20</v>
      </c>
      <c r="K6" s="9">
        <f>M6*(1-K5/100)</f>
        <v>12.753791138440894</v>
      </c>
      <c r="L6" s="9">
        <f>M6*(1-L5/100)</f>
        <v>14.161976633629994</v>
      </c>
      <c r="M6" s="13">
        <f>Ash!K17*100</f>
        <v>14.604852138884091</v>
      </c>
      <c r="N6" s="15" t="s">
        <v>21</v>
      </c>
      <c r="P6" s="12" t="s">
        <v>22</v>
      </c>
      <c r="Q6" s="9" t="s">
        <v>20</v>
      </c>
      <c r="R6" s="9">
        <f>T6*(1-R5/100)</f>
        <v>1.4970987306091659</v>
      </c>
      <c r="S6" s="9">
        <f>T6*(1-S5/100)</f>
        <v>6.5958399299130495</v>
      </c>
      <c r="T6" s="13">
        <f>Ash!K25*100</f>
        <v>6.843925979073008</v>
      </c>
      <c r="U6" s="15" t="s">
        <v>21</v>
      </c>
    </row>
    <row r="7" spans="2:21" x14ac:dyDescent="0.2">
      <c r="B7" s="12"/>
      <c r="C7" s="9"/>
      <c r="D7" s="9"/>
      <c r="E7" s="9"/>
      <c r="F7" s="9"/>
      <c r="G7" s="16"/>
      <c r="I7" s="12"/>
      <c r="J7" s="9"/>
      <c r="K7" s="9"/>
      <c r="L7" s="9"/>
      <c r="M7" s="9"/>
      <c r="N7" s="16"/>
      <c r="P7" s="12"/>
      <c r="Q7" s="9"/>
      <c r="R7" s="9"/>
      <c r="S7" s="9"/>
      <c r="T7" s="9"/>
      <c r="U7" s="16"/>
    </row>
    <row r="8" spans="2:21" x14ac:dyDescent="0.2">
      <c r="B8" s="12" t="s">
        <v>13</v>
      </c>
      <c r="C8" s="9" t="s">
        <v>20</v>
      </c>
      <c r="D8" s="9">
        <f>F8*(1-D5/100)</f>
        <v>43.73605102067966</v>
      </c>
      <c r="E8" s="9">
        <f>F8*(1-E5/100)</f>
        <v>45.635911083208185</v>
      </c>
      <c r="F8" s="13">
        <f>CHNS!B8</f>
        <v>46.84</v>
      </c>
      <c r="G8" s="16">
        <f>F8/(1-F$6/100)</f>
        <v>53.118938176178446</v>
      </c>
      <c r="I8" s="12" t="s">
        <v>13</v>
      </c>
      <c r="J8" s="9" t="s">
        <v>20</v>
      </c>
      <c r="K8" s="9">
        <f>M8*(1-K5/100)</f>
        <v>37.681044791855946</v>
      </c>
      <c r="L8" s="9">
        <f>M8*(1-L5/100)</f>
        <v>41.841525400600567</v>
      </c>
      <c r="M8" s="13">
        <f>CHNS!B16</f>
        <v>43.15</v>
      </c>
      <c r="N8" s="16">
        <f>M8/(1-M$6/100)</f>
        <v>50.529803016651321</v>
      </c>
      <c r="P8" s="12" t="s">
        <v>13</v>
      </c>
      <c r="Q8" s="9" t="s">
        <v>20</v>
      </c>
      <c r="R8" s="9">
        <f>T8*(1-R5/100)</f>
        <v>10.557533101503115</v>
      </c>
      <c r="S8" s="9">
        <f>T8*(1-S5/100)</f>
        <v>46.513831698954391</v>
      </c>
      <c r="T8" s="13">
        <f>CHNS!B24</f>
        <v>48.263333333333343</v>
      </c>
      <c r="U8" s="16">
        <f>T8/(1-T$6/100)</f>
        <v>51.809110506837435</v>
      </c>
    </row>
    <row r="9" spans="2:21" x14ac:dyDescent="0.2">
      <c r="B9" s="12" t="s">
        <v>14</v>
      </c>
      <c r="C9" s="9" t="s">
        <v>20</v>
      </c>
      <c r="D9" s="9">
        <f>F9*(1-D5/100)</f>
        <v>6.1797558569285131</v>
      </c>
      <c r="E9" s="9">
        <f>F9*(1-E5/100)</f>
        <v>6.448199648143313</v>
      </c>
      <c r="F9" s="13">
        <f>CHNS!C8</f>
        <v>6.6183333333333332</v>
      </c>
      <c r="G9" s="16">
        <f>F9/(1-F$6/100)</f>
        <v>7.5055260282381369</v>
      </c>
      <c r="I9" s="12" t="s">
        <v>14</v>
      </c>
      <c r="J9" s="9" t="s">
        <v>20</v>
      </c>
      <c r="K9" s="9">
        <f>M9*(1-K5/100)</f>
        <v>5.2115985009918031</v>
      </c>
      <c r="L9" s="9">
        <f>M9*(1-L5/100)</f>
        <v>5.7870271979324261</v>
      </c>
      <c r="M9" s="13">
        <f>CHNS!C16</f>
        <v>5.968</v>
      </c>
      <c r="N9" s="16">
        <f t="shared" ref="N9:N12" si="0">M9/(1-M$6/100)</f>
        <v>6.9886874716888778</v>
      </c>
      <c r="P9" s="12" t="s">
        <v>14</v>
      </c>
      <c r="Q9" s="9" t="s">
        <v>20</v>
      </c>
      <c r="R9" s="9">
        <f>T9*(1-R5/100)</f>
        <v>1.444177778909943</v>
      </c>
      <c r="S9" s="9">
        <f>T9*(1-S5/100)</f>
        <v>6.3626835460286655</v>
      </c>
      <c r="T9" s="13">
        <f>CHNS!C24</f>
        <v>6.6020000000000003</v>
      </c>
      <c r="U9" s="16">
        <f t="shared" ref="U9:U12" si="1">T9/(1-T$6/100)</f>
        <v>7.0870311671967814</v>
      </c>
    </row>
    <row r="10" spans="2:21" x14ac:dyDescent="0.2">
      <c r="B10" s="12" t="s">
        <v>17</v>
      </c>
      <c r="C10" s="9" t="s">
        <v>20</v>
      </c>
      <c r="D10" s="9">
        <f>F10*(1-D5/100)</f>
        <v>29.453491546034424</v>
      </c>
      <c r="E10" s="9">
        <f>F10*(1-E5/100)</f>
        <v>30.732928326092001</v>
      </c>
      <c r="F10" s="9">
        <f>100-SUM(F6:F9,F11:F12)</f>
        <v>31.543806809717168</v>
      </c>
      <c r="G10" s="16">
        <f>F10/(1-F$6/100)</f>
        <v>35.772278474950532</v>
      </c>
      <c r="I10" s="12" t="s">
        <v>17</v>
      </c>
      <c r="J10" s="9" t="s">
        <v>20</v>
      </c>
      <c r="K10" s="9">
        <f>M10*(1-K5/100)</f>
        <v>28.999251610875636</v>
      </c>
      <c r="L10" s="9">
        <f>M10*(1-L5/100)</f>
        <v>32.201148603424812</v>
      </c>
      <c r="M10" s="9">
        <f>100-SUM(M6:M9,M11:M12)</f>
        <v>33.208147861115904</v>
      </c>
      <c r="N10" s="16">
        <f t="shared" si="0"/>
        <v>38.887628504519526</v>
      </c>
      <c r="P10" s="12" t="s">
        <v>17</v>
      </c>
      <c r="Q10" s="9" t="s">
        <v>20</v>
      </c>
      <c r="R10" s="9">
        <f>T10*(1-R5/100)</f>
        <v>7.8447029709259821</v>
      </c>
      <c r="S10" s="9">
        <f>T10*(1-S5/100)</f>
        <v>34.561785429400011</v>
      </c>
      <c r="T10" s="9">
        <f>100-SUM(T6:T9,T11:T12)</f>
        <v>35.861740687593652</v>
      </c>
      <c r="U10" s="16">
        <f t="shared" si="1"/>
        <v>38.496406234914446</v>
      </c>
    </row>
    <row r="11" spans="2:21" x14ac:dyDescent="0.2">
      <c r="B11" s="12" t="s">
        <v>15</v>
      </c>
      <c r="C11" s="9" t="s">
        <v>20</v>
      </c>
      <c r="D11" s="9">
        <f>F11*(1-D5/100)</f>
        <v>2.4152558776008695</v>
      </c>
      <c r="E11" s="9">
        <f>F11*(1-E5/100)</f>
        <v>2.5201727156682003</v>
      </c>
      <c r="F11" s="13">
        <f>CHNS!D8</f>
        <v>2.5866666666666669</v>
      </c>
      <c r="G11" s="16">
        <f>F11/(1-F$6/100)</f>
        <v>2.9334113311069223</v>
      </c>
      <c r="I11" s="12" t="s">
        <v>15</v>
      </c>
      <c r="J11" s="9" t="s">
        <v>20</v>
      </c>
      <c r="K11" s="9">
        <f>M11*(1-K5/100)</f>
        <v>2.2792010870624337</v>
      </c>
      <c r="L11" s="9">
        <f>M11*(1-L5/100)</f>
        <v>2.5308547229563727</v>
      </c>
      <c r="M11" s="13">
        <f>CHNS!D16</f>
        <v>2.61</v>
      </c>
      <c r="N11" s="16">
        <f t="shared" si="0"/>
        <v>3.0563797421427563</v>
      </c>
      <c r="P11" s="12" t="s">
        <v>15</v>
      </c>
      <c r="Q11" s="9" t="s">
        <v>20</v>
      </c>
      <c r="R11" s="9">
        <f>T11*(1-R5/100)</f>
        <v>0.41343471707661195</v>
      </c>
      <c r="S11" s="9">
        <f>T11*(1-S5/100)</f>
        <v>1.8214892308382578</v>
      </c>
      <c r="T11" s="13">
        <f>CHNS!D24</f>
        <v>1.89</v>
      </c>
      <c r="U11" s="16">
        <f t="shared" si="1"/>
        <v>2.0288532120572427</v>
      </c>
    </row>
    <row r="12" spans="2:21" x14ac:dyDescent="0.2">
      <c r="B12" s="12" t="s">
        <v>16</v>
      </c>
      <c r="C12" s="9" t="s">
        <v>20</v>
      </c>
      <c r="D12" s="9">
        <f>F12*(1-D5/100)</f>
        <v>0.55152492462741487</v>
      </c>
      <c r="E12" s="9">
        <f>F12*(1-E5/100)</f>
        <v>0.57548273868093425</v>
      </c>
      <c r="F12" s="13">
        <f>CHNS!E8</f>
        <v>0.59066666666666656</v>
      </c>
      <c r="G12" s="16">
        <f>F12/(1-F$6/100)</f>
        <v>0.66984598952596197</v>
      </c>
      <c r="I12" s="12" t="s">
        <v>16</v>
      </c>
      <c r="J12" s="9" t="s">
        <v>20</v>
      </c>
      <c r="K12" s="9">
        <f>M12*(1-K5/100)</f>
        <v>0.40082501875925564</v>
      </c>
      <c r="L12" s="9">
        <f>M12*(1-L5/100)</f>
        <v>0.44508134783025871</v>
      </c>
      <c r="M12" s="13">
        <f>CHNS!E16</f>
        <v>0.45900000000000002</v>
      </c>
      <c r="N12" s="16">
        <f t="shared" si="0"/>
        <v>0.53750126499751927</v>
      </c>
      <c r="P12" s="12" t="s">
        <v>16</v>
      </c>
      <c r="Q12" s="9" t="s">
        <v>20</v>
      </c>
      <c r="R12" s="9">
        <f>T12*(1-R5/100)</f>
        <v>0.11790545635147824</v>
      </c>
      <c r="S12" s="9">
        <f>T12*(1-S5/100)</f>
        <v>0.51946174360942909</v>
      </c>
      <c r="T12" s="13">
        <f>CHNS!E24</f>
        <v>0.53900000000000003</v>
      </c>
      <c r="U12" s="16">
        <f t="shared" si="1"/>
        <v>0.57859887899410256</v>
      </c>
    </row>
    <row r="13" spans="2:21" x14ac:dyDescent="0.2">
      <c r="B13" s="12"/>
      <c r="C13" s="9"/>
      <c r="D13" s="9"/>
      <c r="E13" s="9"/>
      <c r="F13" s="9"/>
      <c r="G13" s="16"/>
      <c r="I13" s="12"/>
      <c r="J13" s="9"/>
      <c r="K13" s="9"/>
      <c r="L13" s="9"/>
      <c r="M13" s="9"/>
      <c r="N13" s="16"/>
      <c r="P13" s="12"/>
      <c r="Q13" s="9"/>
      <c r="R13" s="9"/>
      <c r="S13" s="9"/>
      <c r="T13" s="9"/>
      <c r="U13" s="16"/>
    </row>
    <row r="14" spans="2:21" x14ac:dyDescent="0.2">
      <c r="B14" s="12" t="s">
        <v>23</v>
      </c>
      <c r="C14" s="9" t="s">
        <v>24</v>
      </c>
      <c r="D14" s="9">
        <f>F14*(1-D5/100)</f>
        <v>17.517710919931304</v>
      </c>
      <c r="E14" s="9">
        <f>F14*(1-E5/100)</f>
        <v>18.278666666666666</v>
      </c>
      <c r="F14" s="13">
        <f>'Heating Value'!C8</f>
        <v>18.760943440037884</v>
      </c>
      <c r="G14" s="16">
        <f>F14/(1-F6/100)</f>
        <v>21.275862397911034</v>
      </c>
      <c r="I14" s="12" t="s">
        <v>23</v>
      </c>
      <c r="J14" s="9" t="s">
        <v>24</v>
      </c>
      <c r="K14" s="9">
        <f>M14*(1-K5/100)</f>
        <v>15.258885915181745</v>
      </c>
      <c r="L14" s="9">
        <f>M14*(1-L5/100)</f>
        <v>16.943666666666665</v>
      </c>
      <c r="M14" s="13">
        <f>'Heating Value'!C16</f>
        <v>17.473531609250855</v>
      </c>
      <c r="N14" s="16">
        <f>M14/(1-M6/100)</f>
        <v>20.461972426898633</v>
      </c>
      <c r="P14" s="12" t="s">
        <v>23</v>
      </c>
      <c r="Q14" s="9" t="s">
        <v>24</v>
      </c>
      <c r="R14" s="9">
        <f>T14*(1-R5/100)</f>
        <v>5.7580080830591331</v>
      </c>
      <c r="S14" s="9">
        <f>T14*(1-S5/100)</f>
        <v>25.368333333333336</v>
      </c>
      <c r="T14" s="13">
        <f>'Heating Value'!C24</f>
        <v>26.32249984697135</v>
      </c>
      <c r="U14" s="16">
        <f>T14/(1-T6/100)</f>
        <v>28.256343049684713</v>
      </c>
    </row>
    <row r="15" spans="2:21" x14ac:dyDescent="0.2">
      <c r="B15" s="12" t="s">
        <v>25</v>
      </c>
      <c r="C15" s="9" t="s">
        <v>24</v>
      </c>
      <c r="D15" s="9">
        <f>D14-2.442*(8.936*F9/100*(1-D5/100)+D5/100)</f>
        <v>16.007358239800361</v>
      </c>
      <c r="E15" s="9">
        <f>E14-2.442*(8.936*F9/100*(1-E5/100)+E5/100)</f>
        <v>16.808784021988721</v>
      </c>
      <c r="F15" s="9">
        <f>F14-2.442*8.936*F9/100</f>
        <v>17.316709800837884</v>
      </c>
      <c r="G15" s="16">
        <f>F15/(1-F6/100)</f>
        <v>19.638028123943869</v>
      </c>
      <c r="I15" s="12" t="s">
        <v>25</v>
      </c>
      <c r="J15" s="9" t="s">
        <v>24</v>
      </c>
      <c r="K15" s="9">
        <f>K14-2.442*(8.936*M9/100*(1-K5/100)+K5/100)</f>
        <v>13.812119790352813</v>
      </c>
      <c r="L15" s="9">
        <f>L14-2.442*(8.936*M9/100*(1-L5/100)+L5/100)</f>
        <v>15.606787389765845</v>
      </c>
      <c r="M15" s="9">
        <f>M14-2.442*8.936*M9/100</f>
        <v>16.171211837090855</v>
      </c>
      <c r="N15" s="16">
        <f>M15/(1-M6/100)</f>
        <v>18.936921174246606</v>
      </c>
      <c r="P15" s="12" t="s">
        <v>25</v>
      </c>
      <c r="Q15" s="9" t="s">
        <v>24</v>
      </c>
      <c r="R15" s="9">
        <f>R14-2.442*(8.936*T9/100*(1-R5/100)+R5/100)</f>
        <v>3.5350476716636976</v>
      </c>
      <c r="S15" s="9">
        <f>S14-2.442*(8.936*T9/100*(1-S5/100)+S5/100)</f>
        <v>23.891366590800494</v>
      </c>
      <c r="T15" s="9">
        <f>T14-2.442*8.936*T9/100</f>
        <v>24.881830420731351</v>
      </c>
      <c r="U15" s="16">
        <f>T15/(1-T6/100)</f>
        <v>26.709831519028793</v>
      </c>
    </row>
    <row r="16" spans="2:21" x14ac:dyDescent="0.2">
      <c r="B16" s="12"/>
      <c r="C16" s="9"/>
      <c r="D16" s="9"/>
      <c r="E16" s="9"/>
      <c r="F16" s="9"/>
      <c r="G16" s="16"/>
      <c r="I16" s="12"/>
      <c r="J16" s="9"/>
      <c r="K16" s="9"/>
      <c r="L16" s="9"/>
      <c r="M16" s="9"/>
      <c r="N16" s="16"/>
      <c r="P16" s="12"/>
      <c r="Q16" s="9"/>
      <c r="R16" s="9"/>
      <c r="S16" s="9"/>
      <c r="T16" s="9"/>
      <c r="U16" s="16"/>
    </row>
    <row r="17" spans="2:21" ht="17" x14ac:dyDescent="0.25">
      <c r="B17" s="12" t="s">
        <v>26</v>
      </c>
      <c r="C17" s="9" t="s">
        <v>24</v>
      </c>
      <c r="D17" s="9">
        <f>F17*(1-D5/100)</f>
        <v>19.128346170231936</v>
      </c>
      <c r="E17" s="9">
        <f>F17*(1-E5/100)</f>
        <v>19.95926666037543</v>
      </c>
      <c r="F17" s="9">
        <f>0.341*F8+1.322*F9-0.12*F10-0.12*F11+0.0686*F12-0.0153*F6</f>
        <v>20.48588552702261</v>
      </c>
      <c r="G17" s="16">
        <f>F17/(1-F6/100)</f>
        <v>23.232034303889471</v>
      </c>
      <c r="I17" s="12" t="s">
        <v>26</v>
      </c>
      <c r="J17" s="9" t="s">
        <v>24</v>
      </c>
      <c r="K17" s="9">
        <f>M17*(1-K5/100)</f>
        <v>15.817918760450217</v>
      </c>
      <c r="L17" s="9">
        <f>M17*(1-L5/100)</f>
        <v>17.56442405607234</v>
      </c>
      <c r="M17" s="9">
        <f>0.341*M8+1.322*M9-0.12*M10-0.12*M11+0.0686*M12-0.0153*M6</f>
        <v>18.113701418941169</v>
      </c>
      <c r="N17" s="16">
        <f>M17/(1-M6/100)</f>
        <v>21.211628380105093</v>
      </c>
      <c r="P17" s="12" t="s">
        <v>26</v>
      </c>
      <c r="Q17" s="9" t="s">
        <v>24</v>
      </c>
      <c r="R17" s="9">
        <f>T17*(1-R5/100)</f>
        <v>4.5035279924985865</v>
      </c>
      <c r="S17" s="9">
        <f>T17*(1-S5/100)</f>
        <v>19.841410022648688</v>
      </c>
      <c r="T17" s="9">
        <f>0.341*T8+1.322*T9-0.12*T10-0.12*T11+0.0686*T12-0.0153*T6</f>
        <v>20.587695116675615</v>
      </c>
      <c r="U17" s="16">
        <f>T17/(1-T6/100)</f>
        <v>22.100217654138905</v>
      </c>
    </row>
    <row r="18" spans="2:21" ht="17" x14ac:dyDescent="0.25">
      <c r="B18" s="17" t="s">
        <v>27</v>
      </c>
      <c r="C18" s="18" t="s">
        <v>24</v>
      </c>
      <c r="D18" s="18">
        <f>D17-2.442*(8.936*F9/100*(1-D5/100)+D5/100)</f>
        <v>17.617993490100993</v>
      </c>
      <c r="E18" s="18">
        <f>E17-2.442*(8.936*F9/100*(1-E5/100)+E5/100)</f>
        <v>18.489384015697485</v>
      </c>
      <c r="F18" s="18">
        <f>F17-2.442*8.936*F9/100</f>
        <v>19.04165188782261</v>
      </c>
      <c r="G18" s="19">
        <f>F18/(1-F6/100)</f>
        <v>21.594200029922305</v>
      </c>
      <c r="I18" s="17" t="s">
        <v>27</v>
      </c>
      <c r="J18" s="18" t="s">
        <v>24</v>
      </c>
      <c r="K18" s="18">
        <f>K17-2.442*(8.936*M9/100*(1-K5/100)+K5/100)</f>
        <v>14.371152635621286</v>
      </c>
      <c r="L18" s="18">
        <f>L17-2.442*(8.936*M9/100*(1-L5/100)+L5/100)</f>
        <v>16.22754477917152</v>
      </c>
      <c r="M18" s="18">
        <f>M17-2.442*8.936*M9/100</f>
        <v>16.811381646781168</v>
      </c>
      <c r="N18" s="19">
        <f>M18/(1-M6/100)</f>
        <v>19.686577127453063</v>
      </c>
      <c r="P18" s="17" t="s">
        <v>27</v>
      </c>
      <c r="Q18" s="18" t="s">
        <v>24</v>
      </c>
      <c r="R18" s="18">
        <f>R17-2.442*(8.936*T9/100*(1-R5/100)+R5/100)</f>
        <v>2.2805675811031509</v>
      </c>
      <c r="S18" s="18">
        <f>S17-2.442*(8.936*T9/100*(1-S5/100)+S5/100)</f>
        <v>18.36444328011585</v>
      </c>
      <c r="T18" s="18">
        <f>T17-2.442*8.936*T9/100</f>
        <v>19.147025690435616</v>
      </c>
      <c r="U18" s="19">
        <f>T18/(1-T6/100)</f>
        <v>20.553706123482986</v>
      </c>
    </row>
    <row r="19" spans="2:21" x14ac:dyDescent="0.2">
      <c r="B19" s="9"/>
      <c r="C19" s="9"/>
      <c r="D19" s="9"/>
      <c r="E19" s="9"/>
      <c r="F19" s="9"/>
      <c r="G19" s="9"/>
    </row>
    <row r="21" spans="2:21" x14ac:dyDescent="0.2">
      <c r="B21" s="1" t="str">
        <f>Moisture!B27</f>
        <v>Umido 2</v>
      </c>
      <c r="G21" s="2"/>
      <c r="I21" s="1" t="str">
        <f>Moisture!B35</f>
        <v>Fanghi 1</v>
      </c>
      <c r="N21" s="2"/>
      <c r="P21" s="1" t="str">
        <f>Moisture!B43</f>
        <v>Fanghi 2</v>
      </c>
      <c r="U21" s="2"/>
    </row>
    <row r="22" spans="2:21" x14ac:dyDescent="0.2">
      <c r="B22" s="20"/>
      <c r="C22" s="21"/>
      <c r="D22" s="22" t="s">
        <v>5</v>
      </c>
      <c r="E22" s="22" t="s">
        <v>31</v>
      </c>
      <c r="F22" s="22" t="s">
        <v>6</v>
      </c>
      <c r="G22" s="23" t="s">
        <v>18</v>
      </c>
      <c r="I22" s="20"/>
      <c r="J22" s="21"/>
      <c r="K22" s="22" t="s">
        <v>5</v>
      </c>
      <c r="L22" s="22" t="s">
        <v>31</v>
      </c>
      <c r="M22" s="22" t="s">
        <v>6</v>
      </c>
      <c r="N22" s="23" t="s">
        <v>18</v>
      </c>
      <c r="P22" s="20"/>
      <c r="Q22" s="21"/>
      <c r="R22" s="22" t="s">
        <v>5</v>
      </c>
      <c r="S22" s="22" t="s">
        <v>31</v>
      </c>
      <c r="T22" s="22" t="s">
        <v>6</v>
      </c>
      <c r="U22" s="23" t="s">
        <v>18</v>
      </c>
    </row>
    <row r="23" spans="2:21" x14ac:dyDescent="0.2">
      <c r="B23" s="12" t="s">
        <v>19</v>
      </c>
      <c r="C23" s="9" t="s">
        <v>20</v>
      </c>
      <c r="D23" s="13">
        <f>Moisture!E32*100</f>
        <v>70.281633880281902</v>
      </c>
      <c r="E23" s="13">
        <f>Moisture!J32*100</f>
        <v>1.5257205801391847</v>
      </c>
      <c r="F23" s="14" t="s">
        <v>21</v>
      </c>
      <c r="G23" s="15" t="s">
        <v>21</v>
      </c>
      <c r="I23" s="12" t="s">
        <v>19</v>
      </c>
      <c r="J23" s="9" t="s">
        <v>20</v>
      </c>
      <c r="K23" s="13">
        <f>Moisture!E40*100</f>
        <v>85.169650227882627</v>
      </c>
      <c r="L23" s="13">
        <f>Moisture!J40*100</f>
        <v>3.0699126782601285</v>
      </c>
      <c r="M23" s="14" t="s">
        <v>21</v>
      </c>
      <c r="N23" s="15" t="s">
        <v>21</v>
      </c>
      <c r="P23" s="12" t="s">
        <v>19</v>
      </c>
      <c r="Q23" s="9" t="s">
        <v>20</v>
      </c>
      <c r="R23" s="13">
        <f>Moisture!E48*100</f>
        <v>86.032907162579491</v>
      </c>
      <c r="S23" s="13">
        <f>Moisture!J48*100</f>
        <v>2.630159263261854</v>
      </c>
      <c r="T23" s="14" t="s">
        <v>21</v>
      </c>
      <c r="U23" s="15" t="s">
        <v>21</v>
      </c>
    </row>
    <row r="24" spans="2:21" x14ac:dyDescent="0.2">
      <c r="B24" s="12" t="s">
        <v>22</v>
      </c>
      <c r="C24" s="9" t="s">
        <v>20</v>
      </c>
      <c r="D24" s="9">
        <f>F24*(1-D23/100)</f>
        <v>4.6864963112982645</v>
      </c>
      <c r="E24" s="9">
        <f>F24*(1-E23/100)</f>
        <v>15.52909555659347</v>
      </c>
      <c r="F24" s="13">
        <f>Ash!K33*100</f>
        <v>15.769697070219415</v>
      </c>
      <c r="G24" s="15" t="s">
        <v>21</v>
      </c>
      <c r="I24" s="12" t="s">
        <v>22</v>
      </c>
      <c r="J24" s="9" t="s">
        <v>20</v>
      </c>
      <c r="K24" s="9">
        <f>M24*(1-K23/100)</f>
        <v>1.4701737958381687</v>
      </c>
      <c r="L24" s="9">
        <f>M24*(1-L23/100)</f>
        <v>9.6089489862639805</v>
      </c>
      <c r="M24" s="13">
        <f>Ash!K41*100</f>
        <v>9.9132779632901951</v>
      </c>
      <c r="N24" s="15" t="s">
        <v>21</v>
      </c>
      <c r="P24" s="12" t="s">
        <v>22</v>
      </c>
      <c r="Q24" s="9" t="s">
        <v>20</v>
      </c>
      <c r="R24" s="9">
        <f>T24*(1-R23/100)</f>
        <v>1.3466277939582758</v>
      </c>
      <c r="S24" s="9">
        <f>T24*(1-S23/100)</f>
        <v>9.387847231750639</v>
      </c>
      <c r="T24" s="13">
        <f>Ash!K49*100</f>
        <v>9.6414322553251903</v>
      </c>
      <c r="U24" s="15" t="s">
        <v>21</v>
      </c>
    </row>
    <row r="25" spans="2:21" x14ac:dyDescent="0.2">
      <c r="B25" s="12"/>
      <c r="C25" s="9"/>
      <c r="D25" s="9"/>
      <c r="E25" s="9"/>
      <c r="F25" s="9"/>
      <c r="G25" s="16"/>
      <c r="I25" s="12"/>
      <c r="J25" s="9"/>
      <c r="K25" s="9"/>
      <c r="L25" s="9"/>
      <c r="M25" s="9"/>
      <c r="N25" s="16"/>
      <c r="P25" s="12"/>
      <c r="Q25" s="9"/>
      <c r="R25" s="9"/>
      <c r="S25" s="9"/>
      <c r="T25" s="9"/>
      <c r="U25" s="16"/>
    </row>
    <row r="26" spans="2:21" x14ac:dyDescent="0.2">
      <c r="B26" s="12" t="s">
        <v>13</v>
      </c>
      <c r="C26" s="9" t="s">
        <v>20</v>
      </c>
      <c r="D26" s="9">
        <f>F26*(1-D23/100)</f>
        <v>12.414352140410241</v>
      </c>
      <c r="E26" s="9">
        <f>F26*(1-E23/100)</f>
        <v>41.135988989656525</v>
      </c>
      <c r="F26" s="13">
        <f>CHNS!B32</f>
        <v>41.773333333333333</v>
      </c>
      <c r="G26" s="16">
        <f>F26/(1-F$24/100)</f>
        <v>49.594186273030601</v>
      </c>
      <c r="I26" s="12" t="s">
        <v>13</v>
      </c>
      <c r="J26" s="9" t="s">
        <v>20</v>
      </c>
      <c r="K26" s="9">
        <f>M26*(1-K23/100)</f>
        <v>6.7062841669514741</v>
      </c>
      <c r="L26" s="9">
        <f>M26*(1-L23/100)</f>
        <v>43.831785486890766</v>
      </c>
      <c r="M26" s="13">
        <f>CHNS!B40</f>
        <v>45.22</v>
      </c>
      <c r="N26" s="16">
        <f>M26/(1-M$24/100)</f>
        <v>50.196076600026714</v>
      </c>
      <c r="P26" s="12" t="s">
        <v>13</v>
      </c>
      <c r="Q26" s="9" t="s">
        <v>20</v>
      </c>
      <c r="R26" s="9">
        <f>T26*(1-R23/100)</f>
        <v>6.3606140781613023</v>
      </c>
      <c r="S26" s="9">
        <f>T26*(1-S23/100)</f>
        <v>44.342225471510552</v>
      </c>
      <c r="T26" s="13">
        <f>CHNS!B48</f>
        <v>45.54</v>
      </c>
      <c r="U26" s="16">
        <f>T26/(1-T$24/100)</f>
        <v>50.399205229416502</v>
      </c>
    </row>
    <row r="27" spans="2:21" x14ac:dyDescent="0.2">
      <c r="B27" s="12" t="s">
        <v>14</v>
      </c>
      <c r="C27" s="9" t="s">
        <v>20</v>
      </c>
      <c r="D27" s="9">
        <f>F27*(1-D23/100)</f>
        <v>1.7786442122651283</v>
      </c>
      <c r="E27" s="9">
        <f>F27*(1-E23/100)</f>
        <v>5.8936856232786701</v>
      </c>
      <c r="F27" s="13">
        <f>CHNS!C32</f>
        <v>5.9850000000000003</v>
      </c>
      <c r="G27" s="16">
        <f t="shared" ref="G27:G30" si="2">F27/(1-F$24/100)</f>
        <v>7.1055187881604249</v>
      </c>
      <c r="I27" s="12" t="s">
        <v>14</v>
      </c>
      <c r="J27" s="9" t="s">
        <v>20</v>
      </c>
      <c r="K27" s="9">
        <f>M27*(1-K23/100)</f>
        <v>1.0417332024927644</v>
      </c>
      <c r="L27" s="9">
        <f>M27*(1-L23/100)</f>
        <v>6.8086924337700809</v>
      </c>
      <c r="M27" s="13">
        <f>CHNS!C40</f>
        <v>7.0243333333333338</v>
      </c>
      <c r="N27" s="16">
        <f t="shared" ref="N27:N30" si="3">M27/(1-M$24/100)</f>
        <v>7.7973015051773782</v>
      </c>
      <c r="P27" s="12" t="s">
        <v>14</v>
      </c>
      <c r="Q27" s="9" t="s">
        <v>20</v>
      </c>
      <c r="R27" s="9">
        <f>T27*(1-R23/100)</f>
        <v>1.0069342796257696</v>
      </c>
      <c r="S27" s="9">
        <f>T27*(1-S23/100)</f>
        <v>7.0197163848472419</v>
      </c>
      <c r="T27" s="13">
        <f>CHNS!C48</f>
        <v>7.2093333333333334</v>
      </c>
      <c r="U27" s="16">
        <f t="shared" ref="U27:U30" si="4">T27/(1-T$24/100)</f>
        <v>7.9785830090895926</v>
      </c>
    </row>
    <row r="28" spans="2:21" x14ac:dyDescent="0.2">
      <c r="B28" s="12" t="s">
        <v>17</v>
      </c>
      <c r="C28" s="9" t="s">
        <v>20</v>
      </c>
      <c r="D28" s="9">
        <f>F28*(1-D23/100)</f>
        <v>9.6700501162559558</v>
      </c>
      <c r="E28" s="9">
        <f>F28*(1-E23/100)</f>
        <v>32.042515840749033</v>
      </c>
      <c r="F28" s="9">
        <f>100-SUM(F24:F27,F29:F30)</f>
        <v>32.538969596447259</v>
      </c>
      <c r="G28" s="16">
        <f t="shared" si="2"/>
        <v>38.630954020874988</v>
      </c>
      <c r="I28" s="12" t="s">
        <v>17</v>
      </c>
      <c r="J28" s="9" t="s">
        <v>20</v>
      </c>
      <c r="K28" s="9">
        <f>M28*(1-K23/100)</f>
        <v>4.5480315761862986</v>
      </c>
      <c r="L28" s="9">
        <f>M28*(1-L23/100)</f>
        <v>29.72560354918912</v>
      </c>
      <c r="M28" s="9">
        <f>100-SUM(M24:M27,M29:M30)</f>
        <v>30.66705537004313</v>
      </c>
      <c r="N28" s="16">
        <f t="shared" si="3"/>
        <v>34.041704123218615</v>
      </c>
      <c r="P28" s="12" t="s">
        <v>17</v>
      </c>
      <c r="Q28" s="9" t="s">
        <v>20</v>
      </c>
      <c r="R28" s="9">
        <f>T28*(1-R23/100)</f>
        <v>4.2462151909300205</v>
      </c>
      <c r="S28" s="9">
        <f>T28*(1-S23/100)</f>
        <v>29.601958094461413</v>
      </c>
      <c r="T28" s="9">
        <f>100-SUM(T24:T27,T29:T30)</f>
        <v>30.401567744674807</v>
      </c>
      <c r="U28" s="16">
        <f t="shared" si="4"/>
        <v>33.64547325559672</v>
      </c>
    </row>
    <row r="29" spans="2:21" x14ac:dyDescent="0.2">
      <c r="B29" s="12" t="s">
        <v>15</v>
      </c>
      <c r="C29" s="9" t="s">
        <v>20</v>
      </c>
      <c r="D29" s="9">
        <f>F29*(1-D23/100)</f>
        <v>0.91532567648731744</v>
      </c>
      <c r="E29" s="9">
        <f>F29*(1-E23/100)</f>
        <v>3.0330078061317129</v>
      </c>
      <c r="F29" s="13">
        <f>CHNS!D32</f>
        <v>3.08</v>
      </c>
      <c r="G29" s="16">
        <f t="shared" si="2"/>
        <v>3.6566412477082886</v>
      </c>
      <c r="I29" s="12" t="s">
        <v>15</v>
      </c>
      <c r="J29" s="9" t="s">
        <v>20</v>
      </c>
      <c r="K29" s="9">
        <f>M29*(1-K23/100)</f>
        <v>0.87548498154732868</v>
      </c>
      <c r="L29" s="9">
        <f>M29*(1-L23/100)</f>
        <v>5.7221061548933765</v>
      </c>
      <c r="M29" s="13">
        <f>CHNS!D40</f>
        <v>5.9033333333333333</v>
      </c>
      <c r="N29" s="16">
        <f t="shared" si="3"/>
        <v>6.5529449844204128</v>
      </c>
      <c r="P29" s="12" t="s">
        <v>15</v>
      </c>
      <c r="Q29" s="9" t="s">
        <v>20</v>
      </c>
      <c r="R29" s="9">
        <f>T29*(1-R23/100)</f>
        <v>0.82545518669155238</v>
      </c>
      <c r="S29" s="9">
        <f>T29*(1-S23/100)</f>
        <v>5.7545575875412247</v>
      </c>
      <c r="T29" s="13">
        <f>CHNS!D48</f>
        <v>5.91</v>
      </c>
      <c r="U29" s="16">
        <f t="shared" si="4"/>
        <v>6.5406083202865952</v>
      </c>
    </row>
    <row r="30" spans="2:21" x14ac:dyDescent="0.2">
      <c r="B30" s="12" t="s">
        <v>16</v>
      </c>
      <c r="C30" s="9" t="s">
        <v>20</v>
      </c>
      <c r="D30" s="9">
        <f>F30*(1-D23/100)</f>
        <v>0.25349766300119542</v>
      </c>
      <c r="E30" s="9">
        <f>F30*(1-E23/100)</f>
        <v>0.83998560345141282</v>
      </c>
      <c r="F30" s="13">
        <f>CHNS!E32</f>
        <v>0.85300000000000009</v>
      </c>
      <c r="G30" s="16">
        <f t="shared" si="2"/>
        <v>1.0126996702257047</v>
      </c>
      <c r="I30" s="12" t="s">
        <v>16</v>
      </c>
      <c r="J30" s="9" t="s">
        <v>20</v>
      </c>
      <c r="K30" s="9">
        <f>M30*(1-K23/100)</f>
        <v>0.18864204910133292</v>
      </c>
      <c r="L30" s="9">
        <f>M30*(1-L23/100)</f>
        <v>1.232950710732531</v>
      </c>
      <c r="M30" s="13">
        <f>CHNS!E40</f>
        <v>1.272</v>
      </c>
      <c r="N30" s="16">
        <f t="shared" si="3"/>
        <v>1.4119727871568772</v>
      </c>
      <c r="P30" s="12" t="s">
        <v>16</v>
      </c>
      <c r="Q30" s="9" t="s">
        <v>20</v>
      </c>
      <c r="R30" s="9">
        <f>T30*(1-R23/100)</f>
        <v>0.18124630805359354</v>
      </c>
      <c r="S30" s="9">
        <f>T30*(1-S23/100)</f>
        <v>1.263535966627072</v>
      </c>
      <c r="T30" s="13">
        <f>CHNS!E48</f>
        <v>1.2976666666666667</v>
      </c>
      <c r="U30" s="16">
        <f t="shared" si="4"/>
        <v>1.4361301856105875</v>
      </c>
    </row>
    <row r="31" spans="2:21" x14ac:dyDescent="0.2">
      <c r="B31" s="12"/>
      <c r="C31" s="9"/>
      <c r="D31" s="9"/>
      <c r="E31" s="9"/>
      <c r="F31" s="9"/>
      <c r="G31" s="16"/>
      <c r="I31" s="12"/>
      <c r="J31" s="9"/>
      <c r="K31" s="9"/>
      <c r="L31" s="9"/>
      <c r="M31" s="9"/>
      <c r="N31" s="16"/>
      <c r="P31" s="12"/>
      <c r="Q31" s="9"/>
      <c r="R31" s="9"/>
      <c r="S31" s="9"/>
      <c r="T31" s="9"/>
      <c r="U31" s="16"/>
    </row>
    <row r="32" spans="2:21" x14ac:dyDescent="0.2">
      <c r="B32" s="12" t="s">
        <v>23</v>
      </c>
      <c r="C32" s="9" t="s">
        <v>24</v>
      </c>
      <c r="D32" s="9">
        <f>F32*(1-D23/100)</f>
        <v>4.880617820628478</v>
      </c>
      <c r="E32" s="9">
        <f>F32*(1-E23/100)</f>
        <v>16.172333333333331</v>
      </c>
      <c r="F32" s="13">
        <f>'Heating Value'!C32</f>
        <v>16.422900912409833</v>
      </c>
      <c r="G32" s="16">
        <f>F32/(1-F24/100)</f>
        <v>19.497615871215547</v>
      </c>
      <c r="I32" s="12" t="s">
        <v>23</v>
      </c>
      <c r="J32" s="9" t="s">
        <v>24</v>
      </c>
      <c r="K32" s="9">
        <f>M32*(1-K23/100)</f>
        <v>2.8057227805683849</v>
      </c>
      <c r="L32" s="9">
        <f>M32*(1-L23/100)</f>
        <v>18.338000000000001</v>
      </c>
      <c r="M32" s="13">
        <f>'Heating Value'!C40</f>
        <v>18.918790343323131</v>
      </c>
      <c r="N32" s="16">
        <f>M32/(1-M24/100)</f>
        <v>21.000642398347935</v>
      </c>
      <c r="P32" s="12" t="s">
        <v>23</v>
      </c>
      <c r="Q32" s="9" t="s">
        <v>24</v>
      </c>
      <c r="R32" s="9">
        <f>T32*(1-R23/100)</f>
        <v>2.6507444429137568</v>
      </c>
      <c r="S32" s="9">
        <f>T32*(1-S23/100)</f>
        <v>18.479333333333336</v>
      </c>
      <c r="T32" s="13">
        <f>'Heating Value'!C48</f>
        <v>18.978498058034706</v>
      </c>
      <c r="U32" s="16">
        <f>T32/(1-T24/100)</f>
        <v>21.003540153117559</v>
      </c>
    </row>
    <row r="33" spans="2:21" x14ac:dyDescent="0.2">
      <c r="B33" s="12" t="s">
        <v>25</v>
      </c>
      <c r="C33" s="9" t="s">
        <v>24</v>
      </c>
      <c r="D33" s="9">
        <f>D32-2.442*(8.936*F27/100*(1-D23/100)+D23/100)</f>
        <v>2.776209703766829</v>
      </c>
      <c r="E33" s="9">
        <f>E32-2.442*(8.936*F27/100*(1-E23/100)+E23/100)</f>
        <v>14.848972133869056</v>
      </c>
      <c r="F33" s="9">
        <f>F32-2.442*8.936*F27/100</f>
        <v>15.116871449209834</v>
      </c>
      <c r="G33" s="16">
        <f>F33/(1-F24/100)</f>
        <v>17.947070025157288</v>
      </c>
      <c r="I33" s="12" t="s">
        <v>25</v>
      </c>
      <c r="J33" s="9" t="s">
        <v>24</v>
      </c>
      <c r="K33" s="9">
        <f>K32-2.442*(8.936*M27/100*(1-K23/100)+K23/100)</f>
        <v>0.4985559027471429</v>
      </c>
      <c r="L33" s="9">
        <f>L32-2.442*(8.936*M27/100*(1-L23/100)+L23/100)</f>
        <v>16.777259478533789</v>
      </c>
      <c r="M33" s="9">
        <f>M32-2.442*8.936*M27/100</f>
        <v>17.38596055340313</v>
      </c>
      <c r="N33" s="16">
        <f>M33/(1-M24/100)</f>
        <v>19.299137720116462</v>
      </c>
      <c r="P33" s="12" t="s">
        <v>25</v>
      </c>
      <c r="Q33" s="9" t="s">
        <v>24</v>
      </c>
      <c r="R33" s="9">
        <f>R32-2.442*(8.936*T27/100*(1-R23/100)+R23/100)</f>
        <v>0.33009055147435573</v>
      </c>
      <c r="S33" s="9">
        <f>S32-2.442*(8.936*T27/100*(1-S23/100)+S23/100)</f>
        <v>16.883282551406307</v>
      </c>
      <c r="T33" s="9">
        <f>T32-2.442*8.936*T27/100</f>
        <v>17.405298100914706</v>
      </c>
      <c r="U33" s="16">
        <f>T33/(1-T24/100)</f>
        <v>19.262476747193094</v>
      </c>
    </row>
    <row r="34" spans="2:21" x14ac:dyDescent="0.2">
      <c r="B34" s="12"/>
      <c r="C34" s="9"/>
      <c r="D34" s="9"/>
      <c r="E34" s="9"/>
      <c r="F34" s="9"/>
      <c r="G34" s="16"/>
      <c r="I34" s="12"/>
      <c r="J34" s="9"/>
      <c r="K34" s="9"/>
      <c r="L34" s="9"/>
      <c r="M34" s="9"/>
      <c r="N34" s="16"/>
      <c r="P34" s="12"/>
      <c r="Q34" s="9"/>
      <c r="R34" s="9"/>
      <c r="S34" s="9"/>
      <c r="T34" s="9"/>
      <c r="U34" s="16"/>
    </row>
    <row r="35" spans="2:21" ht="17" x14ac:dyDescent="0.25">
      <c r="B35" s="12" t="s">
        <v>26</v>
      </c>
      <c r="C35" s="9" t="s">
        <v>24</v>
      </c>
      <c r="D35" s="9">
        <f>F35*(1-D23/100)</f>
        <v>5.2601031794842186</v>
      </c>
      <c r="E35" s="9">
        <f>F35*(1-E23/100)</f>
        <v>17.429789652202476</v>
      </c>
      <c r="F35" s="9">
        <f>0.341*F26+1.322*F27-0.12*F28-0.12*F29+0.0686*F30-0.0153*F24</f>
        <v>17.699839749918642</v>
      </c>
      <c r="G35" s="16">
        <f>F35/(1-F24/100)</f>
        <v>21.013624710188072</v>
      </c>
      <c r="I35" s="12" t="s">
        <v>26</v>
      </c>
      <c r="J35" s="9" t="s">
        <v>24</v>
      </c>
      <c r="K35" s="9">
        <f>M35*(1-K23/100)</f>
        <v>3.0036393931898795</v>
      </c>
      <c r="L35" s="9">
        <f>M35*(1-L23/100)</f>
        <v>19.63156858325031</v>
      </c>
      <c r="M35" s="9">
        <f>0.341*M26+1.322*M27-0.12*M28-0.12*M29+0.0686*M30-0.0153*M24</f>
        <v>20.253328069423151</v>
      </c>
      <c r="N35" s="16">
        <f>M35/(1-M24/100)</f>
        <v>22.482034656750017</v>
      </c>
      <c r="P35" s="12" t="s">
        <v>26</v>
      </c>
      <c r="Q35" s="9" t="s">
        <v>24</v>
      </c>
      <c r="R35" s="9">
        <f>T35*(1-R23/100)</f>
        <v>2.8833661644885979</v>
      </c>
      <c r="S35" s="9">
        <f>T35*(1-S23/100)</f>
        <v>20.10102656937767</v>
      </c>
      <c r="T35" s="9">
        <f>0.341*T26+1.322*T27-0.12*T28-0.12*T29+0.0686*T30-0.0153*T24</f>
        <v>20.643996557132549</v>
      </c>
      <c r="U35" s="16">
        <f>T35/(1-T24/100)</f>
        <v>22.846750532241789</v>
      </c>
    </row>
    <row r="36" spans="2:21" ht="17" x14ac:dyDescent="0.25">
      <c r="B36" s="17" t="s">
        <v>27</v>
      </c>
      <c r="C36" s="18" t="s">
        <v>24</v>
      </c>
      <c r="D36" s="18">
        <f>D35-2.442*(8.936*F27/100*(1-D23/100)+D23/100)</f>
        <v>3.1556950626225695</v>
      </c>
      <c r="E36" s="18">
        <f>E35-2.442*(8.936*F27/100*(1-E23/100)+E23/100)</f>
        <v>16.1064284527382</v>
      </c>
      <c r="F36" s="18">
        <f>F35-2.442*8.936*F27/100</f>
        <v>16.39381028671864</v>
      </c>
      <c r="G36" s="19">
        <f>F36/(1-F24/100)</f>
        <v>19.463078864129812</v>
      </c>
      <c r="I36" s="17" t="s">
        <v>27</v>
      </c>
      <c r="J36" s="18" t="s">
        <v>24</v>
      </c>
      <c r="K36" s="18">
        <f>K35-2.442*(8.936*M27/100*(1-K23/100)+K23/100)</f>
        <v>0.69647251536863752</v>
      </c>
      <c r="L36" s="18">
        <f>L35-2.442*(8.936*M27/100*(1-L23/100)+L23/100)</f>
        <v>18.070828061784098</v>
      </c>
      <c r="M36" s="18">
        <f>M35-2.442*8.936*M27/100</f>
        <v>18.72049827950315</v>
      </c>
      <c r="N36" s="19">
        <f>M36/(1-M24/100)</f>
        <v>20.780529978518544</v>
      </c>
      <c r="P36" s="17" t="s">
        <v>27</v>
      </c>
      <c r="Q36" s="18" t="s">
        <v>24</v>
      </c>
      <c r="R36" s="18">
        <f>R35-2.442*(8.936*T27/100*(1-R23/100)+R23/100)</f>
        <v>0.56271227304919691</v>
      </c>
      <c r="S36" s="18">
        <f>S35-2.442*(8.936*T27/100*(1-S23/100)+S23/100)</f>
        <v>18.50497578745064</v>
      </c>
      <c r="T36" s="18">
        <f>T35-2.442*8.936*T27/100</f>
        <v>19.07079660001255</v>
      </c>
      <c r="U36" s="19">
        <f>T36/(1-T24/100)</f>
        <v>21.105687126317324</v>
      </c>
    </row>
    <row r="37" spans="2:21" x14ac:dyDescent="0.2">
      <c r="B37" s="9"/>
      <c r="C37" s="9"/>
      <c r="D37" s="9"/>
      <c r="E37" s="9"/>
      <c r="F37" s="9"/>
      <c r="G37" s="9"/>
    </row>
  </sheetData>
  <pageMargins left="0.25" right="0.25" top="0.75" bottom="0.75" header="0.3" footer="0.3"/>
  <pageSetup paperSize="9"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3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" max="1" width="16" bestFit="1" customWidth="1"/>
    <col min="3" max="3" width="9.1640625"/>
    <col min="5" max="5" width="9.1640625"/>
    <col min="7" max="7" width="9.1640625"/>
    <col min="9" max="9" width="9.1640625"/>
    <col min="11" max="11" width="9.1640625"/>
    <col min="13" max="13" width="9.1640625"/>
    <col min="16" max="16" width="9.1640625"/>
    <col min="18" max="18" width="9.1640625"/>
    <col min="20" max="20" width="9.1640625"/>
    <col min="22" max="22" width="9.1640625"/>
  </cols>
  <sheetData>
    <row r="1" spans="1:23" x14ac:dyDescent="0.2">
      <c r="A1" t="s">
        <v>39</v>
      </c>
      <c r="B1" s="6" t="s">
        <v>40</v>
      </c>
      <c r="C1" s="6" t="s">
        <v>47</v>
      </c>
      <c r="D1" s="6" t="s">
        <v>4</v>
      </c>
      <c r="E1" s="6" t="s">
        <v>48</v>
      </c>
      <c r="F1" s="6" t="s">
        <v>13</v>
      </c>
      <c r="G1" s="6" t="s">
        <v>49</v>
      </c>
      <c r="H1" s="6" t="s">
        <v>14</v>
      </c>
      <c r="I1" s="6" t="s">
        <v>50</v>
      </c>
      <c r="J1" s="6" t="s">
        <v>15</v>
      </c>
      <c r="K1" s="6" t="s">
        <v>51</v>
      </c>
      <c r="L1" s="6" t="s">
        <v>16</v>
      </c>
      <c r="M1" s="6" t="s">
        <v>52</v>
      </c>
      <c r="N1" s="6" t="s">
        <v>17</v>
      </c>
      <c r="O1" s="6" t="s">
        <v>41</v>
      </c>
      <c r="P1" s="6" t="s">
        <v>53</v>
      </c>
      <c r="Q1" s="6" t="s">
        <v>42</v>
      </c>
      <c r="R1" s="6" t="s">
        <v>54</v>
      </c>
      <c r="S1" s="6" t="s">
        <v>43</v>
      </c>
      <c r="T1" s="6"/>
      <c r="U1" s="6" t="s">
        <v>44</v>
      </c>
      <c r="V1" s="6"/>
      <c r="W1" s="6" t="s">
        <v>45</v>
      </c>
    </row>
    <row r="2" spans="1:23" x14ac:dyDescent="0.2">
      <c r="A2" t="str">
        <f>Moisture!B3</f>
        <v>Secco 1</v>
      </c>
      <c r="B2" s="9" t="str">
        <f>TEXT(Moisture!E8*100,"0.00")</f>
        <v>007</v>
      </c>
      <c r="C2" s="9" t="str">
        <f>TEXT(Moisture!E9*100,"0.00")</f>
        <v>000</v>
      </c>
      <c r="D2" s="9" t="str">
        <f>TEXT(Ash!E9*100,"0.00")</f>
        <v>012</v>
      </c>
      <c r="E2" s="9" t="str">
        <f>TEXT(Ash!E10*100,"0.00")</f>
        <v>000</v>
      </c>
      <c r="F2" s="9" t="str">
        <f>TEXT(CHNS!B8,"0.00")</f>
        <v>047</v>
      </c>
      <c r="G2" s="9" t="str">
        <f>TEXT(CHNS!B9,"0.00")</f>
        <v>001</v>
      </c>
      <c r="H2" s="9" t="str">
        <f>TEXT(CHNS!C8,"0.00")</f>
        <v>007</v>
      </c>
      <c r="I2" s="9" t="str">
        <f>TEXT(CHNS!C9,"0.00")</f>
        <v>000</v>
      </c>
      <c r="J2" s="9" t="str">
        <f>TEXT(CHNS!D8,"0.00")</f>
        <v>003</v>
      </c>
      <c r="K2" s="9" t="str">
        <f>TEXT(CHNS!D9,"0.00")</f>
        <v>000</v>
      </c>
      <c r="L2" s="9" t="str">
        <f>TEXT(CHNS!E8,"0.00")</f>
        <v>001</v>
      </c>
      <c r="M2" s="9" t="str">
        <f>TEXT(CHNS!E9,"0.00")</f>
        <v>000</v>
      </c>
      <c r="N2" s="9" t="str">
        <f>IF(CHNS!F8&lt;0,"*",TEXT(CHNS!F8,"0.00"))</f>
        <v>031</v>
      </c>
      <c r="O2" s="9" t="str">
        <f>TEXT('Heating Value'!C8,"0.00")</f>
        <v>019</v>
      </c>
      <c r="P2" s="9" t="str">
        <f>TEXT('Heating Value'!C9,"0.00")</f>
        <v>000</v>
      </c>
      <c r="Q2" s="9" t="str">
        <f>TEXT('Heating Value'!D8,"0.00")</f>
        <v>017</v>
      </c>
      <c r="R2" s="9" t="str">
        <f>TEXT('Heating Value'!D9,"0.00")</f>
        <v>000</v>
      </c>
      <c r="S2" s="6" t="str">
        <f t="shared" ref="S2:S7" si="0">TEXT(O2*(1-B2/100),"0.00")</f>
        <v>018</v>
      </c>
      <c r="T2" s="6"/>
      <c r="U2" s="6" t="str">
        <f t="shared" ref="U2:U7" si="1">TEXT(S2-2.442*(8.936*H2/100*(1-B2/100)+B2/100),"0.00")</f>
        <v>016</v>
      </c>
      <c r="V2" s="6"/>
      <c r="W2" t="str">
        <f t="shared" ref="W2:W7" si="2">IF(N2="*","Nota: A causa della natura non omogenea del campione, la somma di CHNS e ceneri su base secca risulta superiore a 100","")</f>
        <v/>
      </c>
    </row>
    <row r="3" spans="1:23" x14ac:dyDescent="0.2">
      <c r="A3" t="str">
        <f>Moisture!B11</f>
        <v>Secco 2</v>
      </c>
      <c r="B3" s="9" t="str">
        <f>TEXT(Moisture!E16*100,"0.00")</f>
        <v>013</v>
      </c>
      <c r="C3" s="9" t="str">
        <f>TEXT(Moisture!E17*100,"0.00")</f>
        <v>001</v>
      </c>
      <c r="D3" s="9" t="str">
        <f>TEXT(Ash!E17*100,"0.00")</f>
        <v>015</v>
      </c>
      <c r="E3" s="9" t="str">
        <f>TEXT(Ash!E18*100,"0.00")</f>
        <v>000</v>
      </c>
      <c r="F3" s="9" t="str">
        <f>TEXT(CHNS!B16,"0.00")</f>
        <v>043</v>
      </c>
      <c r="G3" s="9" t="str">
        <f>TEXT(CHNS!B17,"0.00")</f>
        <v>001</v>
      </c>
      <c r="H3" s="9" t="str">
        <f>TEXT(CHNS!C16,"0.00")</f>
        <v>006</v>
      </c>
      <c r="I3" s="9" t="str">
        <f>TEXT(CHNS!C17,"0.00")</f>
        <v>000</v>
      </c>
      <c r="J3" s="9" t="str">
        <f>TEXT(CHNS!D16,"0.00")</f>
        <v>003</v>
      </c>
      <c r="K3" s="9" t="str">
        <f>TEXT(CHNS!D17,"0.00")</f>
        <v>000</v>
      </c>
      <c r="L3" s="9" t="str">
        <f>TEXT(CHNS!E16,"0.00")</f>
        <v>000</v>
      </c>
      <c r="M3" s="9" t="str">
        <f>TEXT(CHNS!E17,"0.00")</f>
        <v>000</v>
      </c>
      <c r="N3" s="9" t="str">
        <f>IF(CHNS!F16&lt;0,"*",TEXT(CHNS!F16,"0.00"))</f>
        <v>033</v>
      </c>
      <c r="O3" s="9" t="str">
        <f>TEXT('Heating Value'!C16,"0.00")</f>
        <v>017</v>
      </c>
      <c r="P3" s="9" t="str">
        <f>TEXT('Heating Value'!C17,"0.00")</f>
        <v>000</v>
      </c>
      <c r="Q3" s="9" t="str">
        <f>TEXT('Heating Value'!D16,"0.00")</f>
        <v>016</v>
      </c>
      <c r="R3" s="9" t="str">
        <f>TEXT('Heating Value'!D17,"0.00")</f>
        <v>000</v>
      </c>
      <c r="S3" s="6" t="str">
        <f t="shared" si="0"/>
        <v>015</v>
      </c>
      <c r="T3" s="6"/>
      <c r="U3" s="6" t="str">
        <f t="shared" si="1"/>
        <v>014</v>
      </c>
      <c r="V3" s="6"/>
      <c r="W3" t="str">
        <f t="shared" si="2"/>
        <v/>
      </c>
    </row>
    <row r="4" spans="1:23" x14ac:dyDescent="0.2">
      <c r="A4" t="str">
        <f>Moisture!B19</f>
        <v>Umido 1</v>
      </c>
      <c r="B4" s="9" t="str">
        <f>TEXT(Moisture!E24*100,"0.00")</f>
        <v>078</v>
      </c>
      <c r="C4" s="9" t="str">
        <f>TEXT(Moisture!E25*100,"0.00")</f>
        <v>001</v>
      </c>
      <c r="D4" s="9" t="str">
        <f>TEXT(Ash!E25*100,"0.00")</f>
        <v>006</v>
      </c>
      <c r="E4" s="9" t="str">
        <f>TEXT(Ash!E26*100,"0.00")</f>
        <v>001</v>
      </c>
      <c r="F4" s="9" t="str">
        <f>TEXT(CHNS!B24,"0.00")</f>
        <v>048</v>
      </c>
      <c r="G4" s="9" t="str">
        <f>TEXT(CHNS!B25,"0.00")</f>
        <v>001</v>
      </c>
      <c r="H4" s="9" t="str">
        <f>TEXT(CHNS!C24,"0.00")</f>
        <v>007</v>
      </c>
      <c r="I4" s="9" t="str">
        <f>TEXT(CHNS!C25,"0.00")</f>
        <v>000</v>
      </c>
      <c r="J4" s="9" t="str">
        <f>TEXT(CHNS!D24,"0.00")</f>
        <v>002</v>
      </c>
      <c r="K4" s="9" t="str">
        <f>TEXT(CHNS!D25,"0.00")</f>
        <v>000</v>
      </c>
      <c r="L4" s="9" t="str">
        <f>TEXT(CHNS!E24,"0.00")</f>
        <v>001</v>
      </c>
      <c r="M4" s="9" t="str">
        <f>TEXT(CHNS!E25,"0.00")</f>
        <v>000</v>
      </c>
      <c r="N4" s="9" t="str">
        <f>IF(CHNS!F24&lt;0,"*",TEXT(CHNS!F24,"0.00"))</f>
        <v>037</v>
      </c>
      <c r="O4" s="9" t="str">
        <f>TEXT('Heating Value'!C24,"0.00")</f>
        <v>026</v>
      </c>
      <c r="P4" s="9" t="str">
        <f>TEXT('Heating Value'!C25,"0.00")</f>
        <v>001</v>
      </c>
      <c r="Q4" s="9" t="str">
        <f>TEXT('Heating Value'!D24,"0.00")</f>
        <v>025</v>
      </c>
      <c r="R4" s="9" t="str">
        <f>TEXT('Heating Value'!D25,"0.00")</f>
        <v>001</v>
      </c>
      <c r="S4" s="6" t="str">
        <f t="shared" si="0"/>
        <v>006</v>
      </c>
      <c r="T4" s="6"/>
      <c r="U4" s="6" t="str">
        <f t="shared" si="1"/>
        <v>004</v>
      </c>
      <c r="V4" s="6"/>
      <c r="W4" t="str">
        <f t="shared" si="2"/>
        <v/>
      </c>
    </row>
    <row r="5" spans="1:23" x14ac:dyDescent="0.2">
      <c r="A5" t="str">
        <f>Moisture!B27</f>
        <v>Umido 2</v>
      </c>
      <c r="B5" s="9" t="str">
        <f>TEXT(Moisture!E32*100,"0.00")</f>
        <v>070</v>
      </c>
      <c r="C5" s="9" t="str">
        <f>TEXT(Moisture!E33*100,"0.00")</f>
        <v>001</v>
      </c>
      <c r="D5" s="9" t="str">
        <f>TEXT(Ash!E33*100,"0.00")</f>
        <v>016</v>
      </c>
      <c r="E5" s="9" t="str">
        <f>TEXT(Ash!E34*100,"0.00")</f>
        <v>001</v>
      </c>
      <c r="F5" s="9" t="str">
        <f>TEXT(CHNS!B32,"0.00")</f>
        <v>042</v>
      </c>
      <c r="G5" s="9" t="str">
        <f>TEXT(CHNS!B33,"0.00")</f>
        <v>001</v>
      </c>
      <c r="H5" s="9" t="str">
        <f>TEXT(CHNS!C32,"0.00")</f>
        <v>006</v>
      </c>
      <c r="I5" s="9" t="str">
        <f>TEXT(CHNS!C33,"0.00")</f>
        <v>000</v>
      </c>
      <c r="J5" s="9" t="str">
        <f>TEXT(CHNS!D32,"0.00")</f>
        <v>003</v>
      </c>
      <c r="K5" s="9" t="str">
        <f>TEXT(CHNS!D33,"0.00")</f>
        <v>000</v>
      </c>
      <c r="L5" s="9" t="str">
        <f>TEXT(CHNS!E32,"0.00")</f>
        <v>001</v>
      </c>
      <c r="M5" s="9" t="str">
        <f>TEXT(CHNS!E33,"0.00")</f>
        <v>000</v>
      </c>
      <c r="N5" s="9" t="str">
        <f>IF(CHNS!F32&lt;0,"*",TEXT(CHNS!F32,"0.00"))</f>
        <v>032</v>
      </c>
      <c r="O5" s="9" t="str">
        <f>TEXT('Heating Value'!C32,"0.00")</f>
        <v>016</v>
      </c>
      <c r="P5" s="9" t="str">
        <f>TEXT('Heating Value'!C33,"0.00")</f>
        <v>000</v>
      </c>
      <c r="Q5" s="9" t="str">
        <f>TEXT('Heating Value'!D32,"0.00")</f>
        <v>015</v>
      </c>
      <c r="R5" s="9" t="str">
        <f>TEXT('Heating Value'!D33,"0.00")</f>
        <v>000</v>
      </c>
      <c r="S5" s="6" t="str">
        <f t="shared" si="0"/>
        <v>005</v>
      </c>
      <c r="T5" s="6"/>
      <c r="U5" s="6" t="str">
        <f t="shared" si="1"/>
        <v>003</v>
      </c>
      <c r="V5" s="6"/>
      <c r="W5" t="str">
        <f t="shared" si="2"/>
        <v/>
      </c>
    </row>
    <row r="6" spans="1:23" x14ac:dyDescent="0.2">
      <c r="A6" t="str">
        <f>Moisture!B35</f>
        <v>Fanghi 1</v>
      </c>
      <c r="B6" s="9" t="str">
        <f>TEXT(Moisture!E40*100,"0.00")</f>
        <v>085</v>
      </c>
      <c r="C6" s="9" t="str">
        <f>TEXT(Moisture!E41*100,"0.00")</f>
        <v>000</v>
      </c>
      <c r="D6" s="9" t="str">
        <f>TEXT(Ash!E41*100,"0.00")</f>
        <v>000</v>
      </c>
      <c r="E6" s="9" t="str">
        <f>TEXT(Ash!E42*100,"0.00")</f>
        <v>000</v>
      </c>
      <c r="F6" s="9" t="str">
        <f>TEXT(CHNS!B40,"0.00")</f>
        <v>045</v>
      </c>
      <c r="G6" s="9" t="str">
        <f>TEXT(CHNS!B41,"0.00")</f>
        <v>000</v>
      </c>
      <c r="H6" s="9" t="str">
        <f>TEXT(CHNS!C40,"0.00")</f>
        <v>007</v>
      </c>
      <c r="I6" s="9" t="str">
        <f>TEXT(CHNS!C41,"0.00")</f>
        <v>000</v>
      </c>
      <c r="J6" s="9" t="str">
        <f>TEXT(CHNS!D40,"0.00")</f>
        <v>006</v>
      </c>
      <c r="K6" s="9" t="str">
        <f>TEXT(CHNS!D41,"0.00")</f>
        <v>000</v>
      </c>
      <c r="L6" s="9" t="str">
        <f>TEXT(CHNS!E40,"0.00")</f>
        <v>001</v>
      </c>
      <c r="M6" s="9" t="str">
        <f>TEXT(CHNS!E41,"0.00")</f>
        <v>000</v>
      </c>
      <c r="N6" s="9" t="str">
        <f>IF(CHNS!F40&lt;0,"*",TEXT(CHNS!F40,"0.00"))</f>
        <v>041</v>
      </c>
      <c r="O6" s="9" t="str">
        <f>TEXT('Heating Value'!C40,"0.00")</f>
        <v>019</v>
      </c>
      <c r="P6" s="9" t="str">
        <f>TEXT('Heating Value'!C41,"0.00")</f>
        <v>000</v>
      </c>
      <c r="Q6" s="9" t="str">
        <f>TEXT('Heating Value'!D40,"0.00")</f>
        <v>017</v>
      </c>
      <c r="R6" s="9" t="str">
        <f>TEXT('Heating Value'!D41,"0.00")</f>
        <v>000</v>
      </c>
      <c r="S6" s="6" t="str">
        <f t="shared" si="0"/>
        <v>003</v>
      </c>
      <c r="T6" s="6"/>
      <c r="U6" s="6" t="str">
        <f t="shared" si="1"/>
        <v>001</v>
      </c>
      <c r="V6" s="6"/>
      <c r="W6" t="str">
        <f t="shared" si="2"/>
        <v/>
      </c>
    </row>
    <row r="7" spans="1:23" x14ac:dyDescent="0.2">
      <c r="A7" t="str">
        <f>Moisture!B43</f>
        <v>Fanghi 2</v>
      </c>
      <c r="B7" s="9" t="str">
        <f>TEXT(Moisture!E48*100,"0.00")</f>
        <v>086</v>
      </c>
      <c r="C7" s="9" t="str">
        <f>TEXT(Moisture!E49*100,"0.00")</f>
        <v>001</v>
      </c>
      <c r="D7" s="9" t="str">
        <f>TEXT(Ash!E49*100,"0.00")</f>
        <v>000</v>
      </c>
      <c r="E7" s="9" t="str">
        <f>TEXT(Ash!E50*100,"0.00")</f>
        <v>000</v>
      </c>
      <c r="F7" s="9" t="str">
        <f>TEXT(CHNS!B48,"0.00")</f>
        <v>046</v>
      </c>
      <c r="G7" s="9" t="str">
        <f>TEXT(CHNS!B49,"0.00")</f>
        <v>000</v>
      </c>
      <c r="H7" s="9" t="str">
        <f>TEXT(CHNS!C48,"0.00")</f>
        <v>007</v>
      </c>
      <c r="I7" s="9" t="str">
        <f>TEXT(CHNS!C49,"0.00")</f>
        <v>000</v>
      </c>
      <c r="J7" s="9" t="str">
        <f>TEXT(CHNS!D48,"0.00")</f>
        <v>006</v>
      </c>
      <c r="K7" s="9" t="str">
        <f>TEXT(CHNS!D49,"0.00")</f>
        <v>000</v>
      </c>
      <c r="L7" s="9" t="str">
        <f>TEXT(CHNS!E48,"0.00")</f>
        <v>001</v>
      </c>
      <c r="M7" s="9" t="str">
        <f>TEXT(CHNS!E49,"0.00")</f>
        <v>000</v>
      </c>
      <c r="N7" s="9" t="str">
        <f>IF(CHNS!F48&lt;0,"*",TEXT(CHNS!F48,"0.00"))</f>
        <v>040</v>
      </c>
      <c r="O7" s="9" t="str">
        <f>TEXT('Heating Value'!C48,"0.00")</f>
        <v>019</v>
      </c>
      <c r="P7" s="9" t="str">
        <f>TEXT('Heating Value'!C49,"0.00")</f>
        <v>000</v>
      </c>
      <c r="Q7" s="9" t="str">
        <f>TEXT('Heating Value'!D48,"0.00")</f>
        <v>017</v>
      </c>
      <c r="R7" s="9" t="str">
        <f>TEXT('Heating Value'!D49,"0.00")</f>
        <v>000</v>
      </c>
      <c r="S7" s="6" t="str">
        <f t="shared" si="0"/>
        <v>003</v>
      </c>
      <c r="T7" s="6"/>
      <c r="U7" s="6" t="str">
        <f t="shared" si="1"/>
        <v>001</v>
      </c>
      <c r="V7" s="6"/>
      <c r="W7" t="str">
        <f t="shared" si="2"/>
        <v/>
      </c>
    </row>
    <row r="8" spans="1:23" x14ac:dyDescent="0.2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6"/>
      <c r="T8" s="6"/>
      <c r="U8" s="6"/>
      <c r="V8" s="6"/>
    </row>
    <row r="9" spans="1:23" x14ac:dyDescent="0.2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6"/>
      <c r="T9" s="6"/>
      <c r="U9" s="6"/>
      <c r="V9" s="6"/>
    </row>
    <row r="10" spans="1:23" x14ac:dyDescent="0.2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6"/>
      <c r="T10" s="6"/>
      <c r="U10" s="6"/>
      <c r="V10" s="6"/>
    </row>
    <row r="11" spans="1:23" x14ac:dyDescent="0.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6"/>
      <c r="T11" s="6"/>
      <c r="U11" s="6"/>
      <c r="V11" s="6"/>
    </row>
    <row r="12" spans="1:23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6"/>
      <c r="T12" s="6"/>
      <c r="U12" s="6"/>
      <c r="V12" s="6"/>
    </row>
    <row r="13" spans="1:23" x14ac:dyDescent="0.2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6"/>
      <c r="U13" s="6"/>
      <c r="V1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6185944D50942BF30C2C7FA80426E" ma:contentTypeVersion="3" ma:contentTypeDescription="Create a new document." ma:contentTypeScope="" ma:versionID="cc449fd868ba0dbdcad253ea2064b912">
  <xsd:schema xmlns:xsd="http://www.w3.org/2001/XMLSchema" xmlns:xs="http://www.w3.org/2001/XMLSchema" xmlns:p="http://schemas.microsoft.com/office/2006/metadata/properties" xmlns:ns2="fde15bcd-c1e8-4454-be34-8fd2c5e11622" targetNamespace="http://schemas.microsoft.com/office/2006/metadata/properties" ma:root="true" ma:fieldsID="1fd53e0abaac40592e66f28f6a792507" ns2:_="">
    <xsd:import namespace="fde15bcd-c1e8-4454-be34-8fd2c5e116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15bcd-c1e8-4454-be34-8fd2c5e11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7DC12F-0215-42CC-9D52-61D705F1AA4F}"/>
</file>

<file path=customXml/itemProps2.xml><?xml version="1.0" encoding="utf-8"?>
<ds:datastoreItem xmlns:ds="http://schemas.openxmlformats.org/officeDocument/2006/customXml" ds:itemID="{D54EAB1E-A696-4184-BD89-8C79567C6144}"/>
</file>

<file path=customXml/itemProps3.xml><?xml version="1.0" encoding="utf-8"?>
<ds:datastoreItem xmlns:ds="http://schemas.openxmlformats.org/officeDocument/2006/customXml" ds:itemID="{11B981A9-479C-4ECA-8D24-3A18D94A80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Samples list</vt:lpstr>
      <vt:lpstr>Moisture</vt:lpstr>
      <vt:lpstr>Ash</vt:lpstr>
      <vt:lpstr>CHNS</vt:lpstr>
      <vt:lpstr>Heating Value</vt:lpstr>
      <vt:lpstr>Ultimate analysis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Patuzzi</dc:creator>
  <cp:lastModifiedBy>Cascioli Alessandro</cp:lastModifiedBy>
  <cp:lastPrinted>2016-01-08T08:20:48Z</cp:lastPrinted>
  <dcterms:created xsi:type="dcterms:W3CDTF">2015-11-25T18:03:08Z</dcterms:created>
  <dcterms:modified xsi:type="dcterms:W3CDTF">2025-11-17T08:59:18Z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0x0101003626185944D50942BF30C2C7FA80426E</vt:lpwstr>
  </property>
</Properties>
</file>